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 your programme" sheetId="1" state="visible" r:id="rId1"/>
    <sheet xmlns:r="http://schemas.openxmlformats.org/officeDocument/2006/relationships" name="5-day core" sheetId="2" state="visible" r:id="rId2"/>
    <sheet xmlns:r="http://schemas.openxmlformats.org/officeDocument/2006/relationships" name="Core Day 1" sheetId="3" state="visible" r:id="rId3"/>
    <sheet xmlns:r="http://schemas.openxmlformats.org/officeDocument/2006/relationships" name="Core Day 2" sheetId="4" state="visible" r:id="rId4"/>
    <sheet xmlns:r="http://schemas.openxmlformats.org/officeDocument/2006/relationships" name="Core Day 3" sheetId="5" state="visible" r:id="rId5"/>
    <sheet xmlns:r="http://schemas.openxmlformats.org/officeDocument/2006/relationships" name="Core Day 4" sheetId="6" state="visible" r:id="rId6"/>
    <sheet xmlns:r="http://schemas.openxmlformats.org/officeDocument/2006/relationships" name="Core Day 5" sheetId="7" state="visible" r:id="rId7"/>
    <sheet xmlns:r="http://schemas.openxmlformats.org/officeDocument/2006/relationships" name="Add-on days" sheetId="8" state="visible" r:id="rId8"/>
    <sheet xmlns:r="http://schemas.openxmlformats.org/officeDocument/2006/relationships" name="Example packages" sheetId="9" state="visible" r:id="rId9"/>
    <sheet xmlns:r="http://schemas.openxmlformats.org/officeDocument/2006/relationships" name="Settings and notes" sheetId="10" state="visible" r:id="rId10"/>
  </sheets>
  <definedNames/>
  <calcPr calcId="124519" fullCalcOnLoad="1"/>
</workbook>
</file>

<file path=xl/styles.xml><?xml version="1.0" encoding="utf-8"?>
<styleSheet xmlns="http://schemas.openxmlformats.org/spreadsheetml/2006/main">
  <numFmts count="1">
    <numFmt numFmtId="164" formatCode="hh:mm"/>
  </numFmts>
  <fonts count="19">
    <font>
      <name val="Calibri"/>
      <family val="2"/>
      <color theme="1"/>
      <sz val="11"/>
      <scheme val="minor"/>
    </font>
    <font>
      <name val="Arial"/>
      <b val="1"/>
      <color rgb="00FFFFFF"/>
      <sz val="16"/>
    </font>
    <font>
      <name val="Arial"/>
      <color rgb="00404040"/>
      <sz val="10"/>
    </font>
    <font>
      <name val="Arial"/>
      <i val="1"/>
      <color rgb="007B3F00"/>
      <sz val="10"/>
    </font>
    <font>
      <name val="Arial"/>
      <b val="1"/>
      <color rgb="00FFFFFF"/>
      <sz val="10"/>
    </font>
    <font>
      <name val="Arial"/>
      <b val="1"/>
      <sz val="10"/>
    </font>
    <font>
      <name val="Arial"/>
      <sz val="10"/>
    </font>
    <font>
      <name val="Arial"/>
      <color rgb="00808080"/>
      <sz val="10"/>
    </font>
    <font>
      <name val="Arial"/>
      <b val="1"/>
      <color rgb="00FFFFFF"/>
      <sz val="11"/>
    </font>
    <font>
      <name val="Arial"/>
      <b val="1"/>
      <sz val="9"/>
    </font>
    <font>
      <name val="Arial"/>
      <color rgb="00008000"/>
      <sz val="9"/>
    </font>
    <font>
      <name val="Arial"/>
      <sz val="9"/>
    </font>
    <font>
      <name val="Arial"/>
      <b val="1"/>
      <color rgb="00404040"/>
      <sz val="9"/>
    </font>
    <font>
      <name val="Arial"/>
      <color rgb="00404040"/>
      <sz val="9"/>
    </font>
    <font>
      <name val="Arial"/>
      <b val="1"/>
      <color rgb="000000FF"/>
      <sz val="11"/>
    </font>
    <font>
      <name val="Arial"/>
      <b val="1"/>
      <sz val="11"/>
    </font>
    <font>
      <name val="Arial"/>
      <b val="1"/>
      <color rgb="001F3864"/>
      <sz val="12"/>
    </font>
    <font>
      <name val="Arial"/>
      <b val="1"/>
      <color rgb="00C00000"/>
      <sz val="10"/>
    </font>
    <font>
      <name val="Arial"/>
      <color rgb="000000FF"/>
      <sz val="10"/>
    </font>
  </fonts>
  <fills count="21">
    <fill>
      <patternFill/>
    </fill>
    <fill>
      <patternFill patternType="gray125"/>
    </fill>
    <fill>
      <patternFill patternType="solid">
        <fgColor rgb="001F3864"/>
      </patternFill>
    </fill>
    <fill>
      <patternFill patternType="solid">
        <fgColor rgb="00DCE6F1"/>
      </patternFill>
    </fill>
    <fill>
      <patternFill patternType="solid">
        <fgColor rgb="00F2F2F2"/>
      </patternFill>
    </fill>
    <fill>
      <patternFill patternType="solid">
        <fgColor rgb="005B6478"/>
      </patternFill>
    </fill>
    <fill>
      <patternFill patternType="solid">
        <fgColor rgb="00D9D2E9"/>
      </patternFill>
    </fill>
    <fill>
      <patternFill patternType="solid">
        <fgColor rgb="00FFFF00"/>
      </patternFill>
    </fill>
    <fill>
      <patternFill patternType="solid">
        <fgColor rgb="00FCE4D6"/>
      </patternFill>
    </fill>
    <fill>
      <patternFill patternType="solid">
        <fgColor rgb="00FFE699"/>
      </patternFill>
    </fill>
    <fill>
      <patternFill patternType="solid">
        <fgColor rgb="00C6E0B4"/>
      </patternFill>
    </fill>
    <fill>
      <patternFill patternType="solid">
        <fgColor rgb="00A9D08E"/>
      </patternFill>
    </fill>
    <fill>
      <patternFill patternType="solid">
        <fgColor rgb="00DDEBF7"/>
      </patternFill>
    </fill>
    <fill>
      <patternFill patternType="solid">
        <fgColor rgb="00BDD7EE"/>
      </patternFill>
    </fill>
    <fill>
      <patternFill patternType="solid">
        <fgColor rgb="00B4DEE6"/>
      </patternFill>
    </fill>
    <fill>
      <patternFill patternType="solid">
        <fgColor rgb="009BC2E6"/>
      </patternFill>
    </fill>
    <fill>
      <patternFill patternType="solid">
        <fgColor rgb="00E7E6E6"/>
      </patternFill>
    </fill>
    <fill>
      <patternFill patternType="solid">
        <fgColor rgb="00F8CBAD"/>
      </patternFill>
    </fill>
    <fill>
      <patternFill patternType="solid">
        <fgColor rgb="00D9E1F2"/>
      </patternFill>
    </fill>
    <fill>
      <patternFill patternType="solid">
        <fgColor rgb="00F4C2D7"/>
      </patternFill>
    </fill>
    <fill>
      <patternFill patternType="solid">
        <fgColor rgb="00F4B18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2">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wrapText="1"/>
    </xf>
    <xf numFmtId="0" fontId="4" fillId="2" borderId="1" applyAlignment="1" pivotButton="0" quotePrefix="0" xfId="0">
      <alignment vertical="center" wrapText="1"/>
    </xf>
    <xf numFmtId="0" fontId="8" fillId="2" borderId="0" applyAlignment="1" pivotButton="0" quotePrefix="0" xfId="0">
      <alignment vertical="center" indent="1"/>
    </xf>
    <xf numFmtId="1" fontId="0" fillId="0" borderId="0" pivotButton="0" quotePrefix="0" xfId="0"/>
    <xf numFmtId="0" fontId="5"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5" borderId="0" applyAlignment="1" pivotButton="0" quotePrefix="0" xfId="0">
      <alignment vertical="center" indent="1"/>
    </xf>
    <xf numFmtId="0" fontId="5" fillId="6" borderId="1" applyAlignment="1" pivotButton="0" quotePrefix="0" xfId="0">
      <alignment vertical="top" wrapText="1"/>
    </xf>
    <xf numFmtId="0" fontId="14" fillId="7" borderId="1" applyAlignment="1" pivotButton="0" quotePrefix="0" xfId="0">
      <alignment horizontal="center" vertical="center"/>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5" fillId="15" borderId="1" applyAlignment="1" pivotButton="0" quotePrefix="0" xfId="0">
      <alignment vertical="top" wrapText="1"/>
    </xf>
    <xf numFmtId="0" fontId="5" fillId="16" borderId="1" applyAlignment="1" pivotButton="0" quotePrefix="0" xfId="0">
      <alignment vertical="top" wrapText="1"/>
    </xf>
    <xf numFmtId="0" fontId="5" fillId="17" borderId="1" applyAlignment="1" pivotButton="0" quotePrefix="0" xfId="0">
      <alignment vertical="top" wrapText="1"/>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xf numFmtId="0" fontId="15" fillId="0" borderId="0" pivotButton="0" quotePrefix="0" xfId="0"/>
    <xf numFmtId="0" fontId="16" fillId="0" borderId="0" pivotButton="0" quotePrefix="0" xfId="0"/>
    <xf numFmtId="0" fontId="17" fillId="0" borderId="0" pivotButton="0" quotePrefix="0" xfId="0"/>
    <xf numFmtId="0" fontId="5" fillId="0" borderId="0" applyAlignment="1" pivotButton="0" quotePrefix="0" xfId="0">
      <alignment vertical="top"/>
    </xf>
    <xf numFmtId="0" fontId="6" fillId="0" borderId="0" applyAlignment="1" pivotButton="0" quotePrefix="0" xfId="0">
      <alignment vertical="top"/>
    </xf>
    <xf numFmtId="0" fontId="9" fillId="3" borderId="1" applyAlignment="1" pivotButton="0" quotePrefix="0" xfId="0">
      <alignment vertical="top" wrapText="1"/>
    </xf>
    <xf numFmtId="164" fontId="10" fillId="0" borderId="1" applyAlignment="1" pivotButton="0" quotePrefix="0" xfId="0">
      <alignment vertical="top" wrapText="1"/>
    </xf>
    <xf numFmtId="0" fontId="9" fillId="0" borderId="1" applyAlignment="1" pivotButton="0" quotePrefix="0" xfId="0">
      <alignment vertical="top" wrapText="1"/>
    </xf>
    <xf numFmtId="0" fontId="11" fillId="3" borderId="1" applyAlignment="1" pivotButton="0" quotePrefix="0" xfId="0">
      <alignment vertical="top" wrapText="1"/>
    </xf>
    <xf numFmtId="0" fontId="11" fillId="0" borderId="1" applyAlignment="1" pivotButton="0" quotePrefix="0" xfId="0">
      <alignment vertical="top" wrapText="1"/>
    </xf>
    <xf numFmtId="0" fontId="3" fillId="0" borderId="0" applyAlignment="1" pivotButton="0" quotePrefix="0" xfId="0">
      <alignment vertical="top" wrapText="1"/>
    </xf>
    <xf numFmtId="164" fontId="6" fillId="0" borderId="1" applyAlignment="1" pivotButton="0" quotePrefix="0" xfId="0">
      <alignment vertical="top" wrapText="1"/>
    </xf>
    <xf numFmtId="0" fontId="6" fillId="3" borderId="1" applyAlignment="1" pivotButton="0" quotePrefix="0" xfId="0">
      <alignment vertical="top" wrapText="1"/>
    </xf>
    <xf numFmtId="0" fontId="7" fillId="4" borderId="1" pivotButton="0" quotePrefix="0" xfId="0"/>
    <xf numFmtId="164" fontId="7" fillId="4" borderId="1" pivotButton="0" quotePrefix="0" xfId="0"/>
    <xf numFmtId="0" fontId="12" fillId="0" borderId="0" pivotButton="0" quotePrefix="0" xfId="0"/>
    <xf numFmtId="0" fontId="13" fillId="0" borderId="0" applyAlignment="1" pivotButton="0" quotePrefix="0" xfId="0">
      <alignment vertical="top" wrapText="1"/>
    </xf>
    <xf numFmtId="0" fontId="5" fillId="0" borderId="0" pivotButton="0" quotePrefix="0" xfId="0"/>
    <xf numFmtId="0" fontId="11" fillId="3" borderId="1" pivotButton="0" quotePrefix="0" xfId="0"/>
    <xf numFmtId="0" fontId="11" fillId="6" borderId="1" pivotButton="0" quotePrefix="0" xfId="0"/>
    <xf numFmtId="0" fontId="11" fillId="8" borderId="1" pivotButton="0" quotePrefix="0" xfId="0"/>
    <xf numFmtId="0" fontId="11" fillId="9" borderId="1" pivotButton="0" quotePrefix="0" xfId="0"/>
    <xf numFmtId="0" fontId="11" fillId="10" borderId="1" pivotButton="0" quotePrefix="0" xfId="0"/>
    <xf numFmtId="0" fontId="11" fillId="11" borderId="1" pivotButton="0" quotePrefix="0" xfId="0"/>
    <xf numFmtId="0" fontId="11" fillId="12" borderId="1" pivotButton="0" quotePrefix="0" xfId="0"/>
    <xf numFmtId="0" fontId="11" fillId="13" borderId="1" pivotButton="0" quotePrefix="0" xfId="0"/>
    <xf numFmtId="0" fontId="11" fillId="14" borderId="1" pivotButton="0" quotePrefix="0" xfId="0"/>
    <xf numFmtId="0" fontId="11" fillId="15" borderId="1" pivotButton="0" quotePrefix="0" xfId="0"/>
    <xf numFmtId="0" fontId="11" fillId="16" borderId="1" pivotButton="0" quotePrefix="0" xfId="0"/>
    <xf numFmtId="0" fontId="11" fillId="17" borderId="1" pivotButton="0" quotePrefix="0" xfId="0"/>
    <xf numFmtId="0" fontId="11" fillId="18" borderId="1" pivotButton="0" quotePrefix="0" xfId="0"/>
    <xf numFmtId="0" fontId="11" fillId="19" borderId="1" pivotButton="0" quotePrefix="0" xfId="0"/>
    <xf numFmtId="0" fontId="11" fillId="20" borderId="1" pivotButton="0" quotePrefix="0" xfId="0"/>
    <xf numFmtId="0" fontId="15" fillId="0" borderId="1" applyAlignment="1" pivotButton="0" quotePrefix="0" xfId="0">
      <alignment vertical="center"/>
    </xf>
    <xf numFmtId="0" fontId="11" fillId="0" borderId="1" applyAlignment="1" pivotButton="0" quotePrefix="0" xfId="0">
      <alignment vertical="center" wrapText="1"/>
    </xf>
    <xf numFmtId="0" fontId="11" fillId="3"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9"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9" fillId="19" borderId="1" applyAlignment="1" pivotButton="0" quotePrefix="0" xfId="0">
      <alignment horizontal="center" vertical="center" wrapText="1"/>
    </xf>
    <xf numFmtId="0" fontId="9" fillId="20" borderId="1" applyAlignment="1" pivotButton="0" quotePrefix="0" xfId="0">
      <alignment horizontal="center" vertical="center" wrapText="1"/>
    </xf>
    <xf numFmtId="0" fontId="9" fillId="18" borderId="1" applyAlignment="1" pivotButton="0" quotePrefix="0" xfId="0">
      <alignment horizontal="center" vertical="center" wrapText="1"/>
    </xf>
    <xf numFmtId="0" fontId="9" fillId="17" borderId="1" applyAlignment="1" pivotButton="0" quotePrefix="0" xfId="0">
      <alignment horizontal="center" vertical="center" wrapText="1"/>
    </xf>
    <xf numFmtId="0" fontId="13" fillId="0" borderId="0" applyAlignment="1" pivotButton="0" quotePrefix="0" xfId="0">
      <alignment wrapText="1"/>
    </xf>
    <xf numFmtId="164" fontId="18" fillId="7" borderId="1" pivotButton="0" quotePrefix="0" xfId="0"/>
    <xf numFmtId="0" fontId="13" fillId="0" borderId="0" pivotButton="0" quotePrefix="0" xfId="0"/>
    <xf numFmtId="0" fontId="18" fillId="7"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15">
    <dxf>
      <fill>
        <patternFill patternType="solid">
          <fgColor rgb="00DCE6F1"/>
        </patternFill>
      </fill>
      <border>
        <left style="thin">
          <color rgb="00BFBFBF"/>
        </left>
        <right style="thin">
          <color rgb="00BFBFBF"/>
        </right>
        <top style="thin">
          <color rgb="00BFBFBF"/>
        </top>
        <bottom style="thin">
          <color rgb="00BFBFBF"/>
        </bottom>
      </border>
    </dxf>
    <dxf>
      <fill>
        <patternFill patternType="solid">
          <fgColor rgb="00D9D2E9"/>
        </patternFill>
      </fill>
      <border>
        <left style="thin">
          <color rgb="00BFBFBF"/>
        </left>
        <right style="thin">
          <color rgb="00BFBFBF"/>
        </right>
        <top style="thin">
          <color rgb="00BFBFBF"/>
        </top>
        <bottom style="thin">
          <color rgb="00BFBFBF"/>
        </bottom>
      </border>
    </dxf>
    <dxf>
      <fill>
        <patternFill patternType="solid">
          <fgColor rgb="00FCE4D6"/>
        </patternFill>
      </fill>
      <border>
        <left style="thin">
          <color rgb="00BFBFBF"/>
        </left>
        <right style="thin">
          <color rgb="00BFBFBF"/>
        </right>
        <top style="thin">
          <color rgb="00BFBFBF"/>
        </top>
        <bottom style="thin">
          <color rgb="00BFBFBF"/>
        </bottom>
      </border>
    </dxf>
    <dxf>
      <fill>
        <patternFill patternType="solid">
          <fgColor rgb="00FFE699"/>
        </patternFill>
      </fill>
      <border>
        <left style="thin">
          <color rgb="00BFBFBF"/>
        </left>
        <right style="thin">
          <color rgb="00BFBFBF"/>
        </right>
        <top style="thin">
          <color rgb="00BFBFBF"/>
        </top>
        <bottom style="thin">
          <color rgb="00BFBFBF"/>
        </bottom>
      </border>
    </dxf>
    <dxf>
      <fill>
        <patternFill patternType="solid">
          <fgColor rgb="00C6E0B4"/>
        </patternFill>
      </fill>
      <border>
        <left style="thin">
          <color rgb="00BFBFBF"/>
        </left>
        <right style="thin">
          <color rgb="00BFBFBF"/>
        </right>
        <top style="thin">
          <color rgb="00BFBFBF"/>
        </top>
        <bottom style="thin">
          <color rgb="00BFBFBF"/>
        </bottom>
      </border>
    </dxf>
    <dxf>
      <fill>
        <patternFill patternType="solid">
          <fgColor rgb="00A9D08E"/>
        </patternFill>
      </fill>
      <border>
        <left style="thin">
          <color rgb="00BFBFBF"/>
        </left>
        <right style="thin">
          <color rgb="00BFBFBF"/>
        </right>
        <top style="thin">
          <color rgb="00BFBFBF"/>
        </top>
        <bottom style="thin">
          <color rgb="00BFBFBF"/>
        </bottom>
      </border>
    </dxf>
    <dxf>
      <fill>
        <patternFill patternType="solid">
          <fgColor rgb="00DDEBF7"/>
        </patternFill>
      </fill>
      <border>
        <left style="thin">
          <color rgb="00BFBFBF"/>
        </left>
        <right style="thin">
          <color rgb="00BFBFBF"/>
        </right>
        <top style="thin">
          <color rgb="00BFBFBF"/>
        </top>
        <bottom style="thin">
          <color rgb="00BFBFBF"/>
        </bottom>
      </border>
    </dxf>
    <dxf>
      <fill>
        <patternFill patternType="solid">
          <fgColor rgb="00BDD7EE"/>
        </patternFill>
      </fill>
      <border>
        <left style="thin">
          <color rgb="00BFBFBF"/>
        </left>
        <right style="thin">
          <color rgb="00BFBFBF"/>
        </right>
        <top style="thin">
          <color rgb="00BFBFBF"/>
        </top>
        <bottom style="thin">
          <color rgb="00BFBFBF"/>
        </bottom>
      </border>
    </dxf>
    <dxf>
      <fill>
        <patternFill patternType="solid">
          <fgColor rgb="00B4DEE6"/>
        </patternFill>
      </fill>
      <border>
        <left style="thin">
          <color rgb="00BFBFBF"/>
        </left>
        <right style="thin">
          <color rgb="00BFBFBF"/>
        </right>
        <top style="thin">
          <color rgb="00BFBFBF"/>
        </top>
        <bottom style="thin">
          <color rgb="00BFBFBF"/>
        </bottom>
      </border>
    </dxf>
    <dxf>
      <fill>
        <patternFill patternType="solid">
          <fgColor rgb="009BC2E6"/>
        </patternFill>
      </fill>
      <border>
        <left style="thin">
          <color rgb="00BFBFBF"/>
        </left>
        <right style="thin">
          <color rgb="00BFBFBF"/>
        </right>
        <top style="thin">
          <color rgb="00BFBFBF"/>
        </top>
        <bottom style="thin">
          <color rgb="00BFBFBF"/>
        </bottom>
      </border>
    </dxf>
    <dxf>
      <fill>
        <patternFill patternType="solid">
          <fgColor rgb="00E7E6E6"/>
        </patternFill>
      </fill>
      <border>
        <left style="thin">
          <color rgb="00BFBFBF"/>
        </left>
        <right style="thin">
          <color rgb="00BFBFBF"/>
        </right>
        <top style="thin">
          <color rgb="00BFBFBF"/>
        </top>
        <bottom style="thin">
          <color rgb="00BFBFBF"/>
        </bottom>
      </border>
    </dxf>
    <dxf>
      <fill>
        <patternFill patternType="solid">
          <fgColor rgb="00F8CBAD"/>
        </patternFill>
      </fill>
      <border>
        <left style="thin">
          <color rgb="00BFBFBF"/>
        </left>
        <right style="thin">
          <color rgb="00BFBFBF"/>
        </right>
        <top style="thin">
          <color rgb="00BFBFBF"/>
        </top>
        <bottom style="thin">
          <color rgb="00BFBFBF"/>
        </bottom>
      </border>
    </dxf>
    <dxf>
      <fill>
        <patternFill patternType="solid">
          <fgColor rgb="00D9E1F2"/>
        </patternFill>
      </fill>
      <border>
        <left style="thin">
          <color rgb="00BFBFBF"/>
        </left>
        <right style="thin">
          <color rgb="00BFBFBF"/>
        </right>
        <top style="thin">
          <color rgb="00BFBFBF"/>
        </top>
        <bottom style="thin">
          <color rgb="00BFBFBF"/>
        </bottom>
      </border>
    </dxf>
    <dxf>
      <fill>
        <patternFill patternType="solid">
          <fgColor rgb="00F4C2D7"/>
        </patternFill>
      </fill>
      <border>
        <left style="thin">
          <color rgb="00BFBFBF"/>
        </left>
        <right style="thin">
          <color rgb="00BFBFBF"/>
        </right>
        <top style="thin">
          <color rgb="00BFBFBF"/>
        </top>
        <bottom style="thin">
          <color rgb="00BFBFBF"/>
        </bottom>
      </border>
    </dxf>
    <dxf>
      <fill>
        <patternFill patternType="solid">
          <fgColor rgb="00F4B183"/>
        </patternFill>
      </fill>
      <border>
        <left style="thin">
          <color rgb="00BFBFBF"/>
        </left>
        <right style="thin">
          <color rgb="00BFBFBF"/>
        </right>
        <top style="thin">
          <color rgb="00BFBFBF"/>
        </top>
        <bottom style="thin">
          <color rgb="00BFBFB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54"/>
  <sheetViews>
    <sheetView workbookViewId="0">
      <pane ySplit="4" topLeftCell="A5" activePane="bottomLeft" state="frozen"/>
      <selection pane="bottomLeft" activeCell="A1" sqref="A1"/>
    </sheetView>
  </sheetViews>
  <sheetFormatPr baseColWidth="8" defaultRowHeight="15"/>
  <cols>
    <col width="11" customWidth="1" min="1" max="1"/>
    <col width="50" customWidth="1" min="2" max="2"/>
    <col width="70" customWidth="1" min="3" max="3"/>
    <col width="34" customWidth="1" min="4" max="4"/>
    <col width="13" customWidth="1" min="5" max="5"/>
    <col hidden="1" width="13" customWidth="1" min="8" max="8"/>
    <col hidden="1" width="13" customWidth="1" min="9" max="9"/>
    <col hidden="1" width="13" customWidth="1" min="10" max="10"/>
    <col hidden="1" width="13" customWidth="1" min="11" max="11"/>
    <col hidden="1" width="13" customWidth="1" min="12" max="12"/>
  </cols>
  <sheetData>
    <row r="1" ht="30" customHeight="1">
      <c r="A1" s="1" t="inlineStr">
        <is>
          <t>Build your programme</t>
        </is>
      </c>
    </row>
    <row r="2" ht="34" customHeight="1">
      <c r="A2" s="2" t="inlineStr">
        <is>
          <t>The five core days are always included. Add any of the optional days by choosing Yes in the yellow cells: each one adds exactly one day. Your day-by-day programme below updates as you choose.</t>
        </is>
      </c>
    </row>
    <row r="4" ht="24" customHeight="1">
      <c r="A4" s="3" t="inlineStr">
        <is>
          <t>Day</t>
        </is>
      </c>
      <c r="B4" s="3" t="inlineStr">
        <is>
          <t>Title</t>
        </is>
      </c>
      <c r="C4" s="3" t="inlineStr">
        <is>
          <t>What your team will be able to do</t>
        </is>
      </c>
      <c r="D4" s="3" t="inlineStr">
        <is>
          <t>Requires</t>
        </is>
      </c>
      <c r="E4" s="3" t="inlineStr">
        <is>
          <t>Include?</t>
        </is>
      </c>
    </row>
    <row r="5" ht="20" customHeight="1">
      <c r="A5" s="4" t="inlineStr">
        <is>
          <t>The core · always included</t>
        </is>
      </c>
      <c r="H5">
        <f>$E$12</f>
        <v/>
      </c>
      <c r="I5" s="5">
        <f>IF(H5="Yes",1,0)</f>
        <v/>
      </c>
      <c r="J5" t="inlineStr">
        <is>
          <t>Pre-course · Modern Java for Spring developers (pre-course bridge)</t>
        </is>
      </c>
      <c r="K5" t="inlineStr">
        <is>
          <t>Add-on days</t>
        </is>
      </c>
      <c r="L5" t="inlineStr">
        <is>
          <t>Bridge</t>
        </is>
      </c>
    </row>
    <row r="6" ht="30" customHeight="1">
      <c r="A6" s="6" t="inlineStr">
        <is>
          <t>Day 1</t>
        </is>
      </c>
      <c r="B6" s="7" t="inlineStr">
        <is>
          <t>From a plain-Java monolith to Spring Core</t>
        </is>
      </c>
      <c r="C6" s="8" t="inlineStr">
        <is>
          <t>Read a plain-Java monolith and name its problems, then hand its wiring to the Spring container: beans, injection, scopes, lifecycle, configuration, events and aspects.</t>
        </is>
      </c>
      <c r="D6" s="8" t="inlineStr">
        <is>
          <t>—</t>
        </is>
      </c>
      <c r="E6" s="9" t="inlineStr">
        <is>
          <t>Included</t>
        </is>
      </c>
      <c r="H6" t="inlineStr">
        <is>
          <t>Yes</t>
        </is>
      </c>
      <c r="I6" s="5">
        <f>I5+IF(H6="Yes",1,0)</f>
        <v/>
      </c>
      <c r="J6" t="inlineStr">
        <is>
          <t>Core · From a plain-Java monolith to Spring Core</t>
        </is>
      </c>
      <c r="K6" t="inlineStr">
        <is>
          <t>Core Day 1</t>
        </is>
      </c>
      <c r="L6" t="inlineStr">
        <is>
          <t>Core</t>
        </is>
      </c>
    </row>
    <row r="7" ht="30" customHeight="1">
      <c r="A7" s="6" t="inlineStr">
        <is>
          <t>Day 2</t>
        </is>
      </c>
      <c r="B7" s="7" t="inlineStr">
        <is>
          <t>Spring Boot, a REST API and PostgreSQL</t>
        </is>
      </c>
      <c r="C7" s="8" t="inlineStr">
        <is>
          <t>Turn the monolith into a Spring Boot application with its own starter, a REST API with one error contract and live documentation, and a PostgreSQL catalogue with migrations and localised data.</t>
        </is>
      </c>
      <c r="D7" s="8" t="inlineStr">
        <is>
          <t>—</t>
        </is>
      </c>
      <c r="E7" s="9" t="inlineStr">
        <is>
          <t>Included</t>
        </is>
      </c>
      <c r="H7" t="inlineStr">
        <is>
          <t>Yes</t>
        </is>
      </c>
      <c r="I7" s="5">
        <f>I6+IF(H7="Yes",1,0)</f>
        <v/>
      </c>
      <c r="J7" t="inlineStr">
        <is>
          <t>Core · Spring Boot, a REST API and PostgreSQL</t>
        </is>
      </c>
      <c r="K7" t="inlineStr">
        <is>
          <t>Core Day 2</t>
        </is>
      </c>
      <c r="L7" t="inlineStr">
        <is>
          <t>Core</t>
        </is>
      </c>
    </row>
    <row r="8" ht="30" customHeight="1">
      <c r="A8" s="6" t="inlineStr">
        <is>
          <t>Day 3</t>
        </is>
      </c>
      <c r="B8" s="7" t="inlineStr">
        <is>
          <t>Relationships, search, transactions and the safety net</t>
        </is>
      </c>
      <c r="C8" s="8" t="inlineStr">
        <is>
          <t>Model relationships that perform, add full-text search and facets, make checkout safe under concurrent load, and keep a test suite every module relies on.</t>
        </is>
      </c>
      <c r="D8" s="8" t="inlineStr">
        <is>
          <t>—</t>
        </is>
      </c>
      <c r="E8" s="9" t="inlineStr">
        <is>
          <t>Included</t>
        </is>
      </c>
      <c r="H8" t="inlineStr">
        <is>
          <t>Yes</t>
        </is>
      </c>
      <c r="I8" s="5">
        <f>I7+IF(H8="Yes",1,0)</f>
        <v/>
      </c>
      <c r="J8" t="inlineStr">
        <is>
          <t>Core · Relationships, search, transactions and the safety net</t>
        </is>
      </c>
      <c r="K8" t="inlineStr">
        <is>
          <t>Core Day 3</t>
        </is>
      </c>
      <c r="L8" t="inlineStr">
        <is>
          <t>Core</t>
        </is>
      </c>
    </row>
    <row r="9" ht="30" customHeight="1">
      <c r="A9" s="6" t="inlineStr">
        <is>
          <t>Day 4</t>
        </is>
      </c>
      <c r="B9" s="7" t="inlineStr">
        <is>
          <t>From monolith to microservices</t>
        </is>
      </c>
      <c r="C9" s="8" t="inlineStr">
        <is>
          <t>Split the monolith into services on PostgreSQL, MySQL and MongoDB that call each other, share configuration, find each other and sit behind one gateway.</t>
        </is>
      </c>
      <c r="D9" s="8" t="inlineStr">
        <is>
          <t>—</t>
        </is>
      </c>
      <c r="E9" s="9" t="inlineStr">
        <is>
          <t>Included</t>
        </is>
      </c>
      <c r="H9" t="inlineStr">
        <is>
          <t>Yes</t>
        </is>
      </c>
      <c r="I9" s="5">
        <f>I8+IF(H9="Yes",1,0)</f>
        <v/>
      </c>
      <c r="J9" t="inlineStr">
        <is>
          <t>Core · From monolith to microservices</t>
        </is>
      </c>
      <c r="K9" t="inlineStr">
        <is>
          <t>Core Day 4</t>
        </is>
      </c>
      <c r="L9" t="inlineStr">
        <is>
          <t>Core</t>
        </is>
      </c>
    </row>
    <row r="10" ht="30" customHeight="1">
      <c r="A10" s="6" t="inlineStr">
        <is>
          <t>Day 5</t>
        </is>
      </c>
      <c r="B10" s="7" t="inlineStr">
        <is>
          <t>Security: Spring Security, JWT, securing the system, and Keycloak</t>
        </is>
      </c>
      <c r="C10" s="8" t="inlineStr">
        <is>
          <t>Secure the system with Spring Security, JWT, ownership rules, service-to-service credentials and Keycloak.</t>
        </is>
      </c>
      <c r="D10" s="8" t="inlineStr">
        <is>
          <t>—</t>
        </is>
      </c>
      <c r="E10" s="9" t="inlineStr">
        <is>
          <t>Included</t>
        </is>
      </c>
      <c r="H10" t="inlineStr">
        <is>
          <t>Yes</t>
        </is>
      </c>
      <c r="I10" s="5">
        <f>I9+IF(H10="Yes",1,0)</f>
        <v/>
      </c>
      <c r="J10" t="inlineStr">
        <is>
          <t>Core · Security: Spring Security, JWT, securing the system, and Keycloak</t>
        </is>
      </c>
      <c r="K10" t="inlineStr">
        <is>
          <t>Core Day 5</t>
        </is>
      </c>
      <c r="L10" t="inlineStr">
        <is>
          <t>Core</t>
        </is>
      </c>
    </row>
    <row r="11" ht="20" customHeight="1">
      <c r="A11" s="10" t="inlineStr">
        <is>
          <t>Optional add-on days · choose Yes or No</t>
        </is>
      </c>
      <c r="H11">
        <f>$E$13</f>
        <v/>
      </c>
      <c r="I11" s="5">
        <f>I10+IF(H11="Yes",1,0)</f>
        <v/>
      </c>
      <c r="J11" t="inlineStr">
        <is>
          <t>Add-on 1 · Microservices in depth: discovery, resilience and observability</t>
        </is>
      </c>
      <c r="K11" t="inlineStr">
        <is>
          <t>Add-on days</t>
        </is>
      </c>
      <c r="L11" t="inlineStr">
        <is>
          <t>Resilience</t>
        </is>
      </c>
    </row>
    <row r="12" ht="32" customHeight="1">
      <c r="A12" s="11" t="inlineStr">
        <is>
          <t>Pre-course</t>
        </is>
      </c>
      <c r="B12" s="7" t="inlineStr">
        <is>
          <t>Modern Java for Spring developers (pre-course bridge)</t>
        </is>
      </c>
      <c r="C12" s="8" t="inlineStr">
        <is>
          <t>Closes the gap for developers coming from Java 8 or another language, so Day 1 starts on Spring, not on syntax.</t>
        </is>
      </c>
      <c r="D12" s="8" t="inlineStr">
        <is>
          <t>Nothing. Recommended for developers coming from Java 8 or from another language.</t>
        </is>
      </c>
      <c r="E12" s="12" t="inlineStr">
        <is>
          <t>No</t>
        </is>
      </c>
      <c r="H12">
        <f>$E$14</f>
        <v/>
      </c>
      <c r="I12" s="5">
        <f>I11+IF(H12="Yes",1,0)</f>
        <v/>
      </c>
      <c r="J12" t="inlineStr">
        <is>
          <t>Add-on 2 · Integrations: Razorpay payments, Resend e-mail and batch feeds</t>
        </is>
      </c>
      <c r="K12" t="inlineStr">
        <is>
          <t>Add-on days</t>
        </is>
      </c>
      <c r="L12" t="inlineStr">
        <is>
          <t>Integrations</t>
        </is>
      </c>
    </row>
    <row r="13" ht="32" customHeight="1">
      <c r="A13" s="13" t="inlineStr">
        <is>
          <t>Add-on 1</t>
        </is>
      </c>
      <c r="B13" s="7" t="inlineStr">
        <is>
          <t>Microservices in depth: discovery, resilience and observability</t>
        </is>
      </c>
      <c r="C13" s="8" t="inlineStr">
        <is>
          <t>Service discovery in depth, then timeouts, retries, circuit breakers and graceful degradation, and one checkout followed across five services with metrics, traces and logs.</t>
        </is>
      </c>
      <c r="D13" s="8" t="inlineStr">
        <is>
          <t>Core Day 4.</t>
        </is>
      </c>
      <c r="E13" s="12" t="inlineStr">
        <is>
          <t>No</t>
        </is>
      </c>
      <c r="H13">
        <f>$E$15</f>
        <v/>
      </c>
      <c r="I13" s="5">
        <f>I12+IF(H13="Yes",1,0)</f>
        <v/>
      </c>
      <c r="J13" t="inlineStr">
        <is>
          <t>Add-on 3 · The Next.js storefront, part 1: foundations, catalogue and search</t>
        </is>
      </c>
      <c r="K13" t="inlineStr">
        <is>
          <t>Add-on days</t>
        </is>
      </c>
      <c r="L13" t="inlineStr">
        <is>
          <t>Storefront 1</t>
        </is>
      </c>
    </row>
    <row r="14" ht="32" customHeight="1">
      <c r="A14" s="14" t="inlineStr">
        <is>
          <t>Add-on 2</t>
        </is>
      </c>
      <c r="B14" s="7" t="inlineStr">
        <is>
          <t>Integrations: Razorpay payments, Resend e-mail and batch feeds</t>
        </is>
      </c>
      <c r="C14" s="8" t="inlineStr">
        <is>
          <t>Real providers in test mode: Razorpay with signature verification and webhooks, Resend behind a mail port with an outbox, a shipping partner behind WireMock, and Spring Batch for supplier and price feeds.</t>
        </is>
      </c>
      <c r="D14" s="8" t="inlineStr">
        <is>
          <t>Core Day 5. The Microservices in depth day is recommended first.</t>
        </is>
      </c>
      <c r="E14" s="12" t="inlineStr">
        <is>
          <t>No</t>
        </is>
      </c>
      <c r="H14">
        <f>$E$16</f>
        <v/>
      </c>
      <c r="I14" s="5">
        <f>I13+IF(H14="Yes",1,0)</f>
        <v/>
      </c>
      <c r="J14" t="inlineStr">
        <is>
          <t>Add-on 4 · The Next.js storefront, part 2: cart, accounts and checkout</t>
        </is>
      </c>
      <c r="K14" t="inlineStr">
        <is>
          <t>Add-on days</t>
        </is>
      </c>
      <c r="L14" t="inlineStr">
        <is>
          <t>Storefront 2</t>
        </is>
      </c>
    </row>
    <row r="15" ht="32" customHeight="1">
      <c r="A15" s="15" t="inlineStr">
        <is>
          <t>Add-on 3</t>
        </is>
      </c>
      <c r="B15" s="7" t="inlineStr">
        <is>
          <t>The Next.js storefront, part 1: foundations, catalogue and search</t>
        </is>
      </c>
      <c r="C15" s="8" t="inlineStr">
        <is>
          <t>Build the ShopScope storefront from scratch with Next.js 16: App Router, locale routing, the BFF proxy, the region menu, then the product listing, product page and search against the real backend.</t>
        </is>
      </c>
      <c r="D15" s="8" t="inlineStr">
        <is>
          <t>Nothing from the core: the finished backend is provided as containers. Written for front-end developers; back-end developers are welcome.</t>
        </is>
      </c>
      <c r="E15" s="12" t="inlineStr">
        <is>
          <t>No</t>
        </is>
      </c>
      <c r="H15">
        <f>$E$17</f>
        <v/>
      </c>
      <c r="I15" s="5">
        <f>I14+IF(H15="Yes",1,0)</f>
        <v/>
      </c>
      <c r="J15" t="inlineStr">
        <is>
          <t>Add-on 5 · Testing, part 1: unit tests, Spring slices and integration tests</t>
        </is>
      </c>
      <c r="K15" t="inlineStr">
        <is>
          <t>Add-on days</t>
        </is>
      </c>
      <c r="L15" t="inlineStr">
        <is>
          <t>Testing 1</t>
        </is>
      </c>
    </row>
    <row r="16" ht="32" customHeight="1">
      <c r="A16" s="16" t="inlineStr">
        <is>
          <t>Add-on 4</t>
        </is>
      </c>
      <c r="B16" s="7" t="inlineStr">
        <is>
          <t>The Next.js storefront, part 2: cart, accounts and checkout</t>
        </is>
      </c>
      <c r="C16" s="8" t="inlineStr">
        <is>
          <t>The cart and wishlist with optimistic updates, accounts with an httpOnly session and the cart-merge dialog, the checkout wizard with Razorpay Checkout.js, the confirmation page and order history, then production hardening.</t>
        </is>
      </c>
      <c r="D16" s="8" t="inlineStr">
        <is>
          <t>Storefront part 1.</t>
        </is>
      </c>
      <c r="E16" s="12" t="inlineStr">
        <is>
          <t>No</t>
        </is>
      </c>
      <c r="H16">
        <f>$E$18</f>
        <v/>
      </c>
      <c r="I16" s="5">
        <f>I15+IF(H16="Yes",1,0)</f>
        <v/>
      </c>
      <c r="J16" t="inlineStr">
        <is>
          <t>Add-on 6 · Testing, part 2: between services, end to end and non-functional</t>
        </is>
      </c>
      <c r="K16" t="inlineStr">
        <is>
          <t>Add-on days</t>
        </is>
      </c>
      <c r="L16" t="inlineStr">
        <is>
          <t>Testing 2</t>
        </is>
      </c>
    </row>
    <row r="17" ht="32" customHeight="1">
      <c r="A17" s="17" t="inlineStr">
        <is>
          <t>Add-on 5</t>
        </is>
      </c>
      <c r="B17" s="7" t="inlineStr">
        <is>
          <t>Testing, part 1: unit tests, Spring slices and integration tests</t>
        </is>
      </c>
      <c r="C17" s="8" t="inlineStr">
        <is>
          <t>Unit tests that pay for themselves (JUnit 5 in depth, AssertJ, Mockito, property-based and mutation testing, ArchUnit), then Spring slices and integration tests with Testcontainers on PostgreSQL, MySQL and MongoDB.</t>
        </is>
      </c>
      <c r="D17" s="8" t="inlineStr">
        <is>
          <t>Core Day 3.</t>
        </is>
      </c>
      <c r="E17" s="12" t="inlineStr">
        <is>
          <t>No</t>
        </is>
      </c>
      <c r="H17">
        <f>$E$19</f>
        <v/>
      </c>
      <c r="I17" s="5">
        <f>I16+IF(H17="Yes",1,0)</f>
        <v/>
      </c>
      <c r="J17" t="inlineStr">
        <is>
          <t>Add-on 7 · Docker: containerising the services and the storefront</t>
        </is>
      </c>
      <c r="K17" t="inlineStr">
        <is>
          <t>Add-on days</t>
        </is>
      </c>
      <c r="L17" t="inlineStr">
        <is>
          <t>Docker</t>
        </is>
      </c>
    </row>
    <row r="18" ht="32" customHeight="1">
      <c r="A18" s="18" t="inlineStr">
        <is>
          <t>Add-on 6</t>
        </is>
      </c>
      <c r="B18" s="7" t="inlineStr">
        <is>
          <t>Testing, part 2: between services, end to end and non-functional</t>
        </is>
      </c>
      <c r="C18" s="8" t="inlineStr">
        <is>
          <t>Consumer-driven contracts between services, partners and webhooks behind WireMock, Keycloak and Redis in Testcontainers, resilience under test, Playwright on the storefront, load tests with k6, and the quality gate.</t>
        </is>
      </c>
      <c r="D18" s="8" t="inlineStr">
        <is>
          <t>Testing part 1. The storefront days are recommended for the Playwright session.</t>
        </is>
      </c>
      <c r="E18" s="12" t="inlineStr">
        <is>
          <t>No</t>
        </is>
      </c>
      <c r="H18">
        <f>$E$20</f>
        <v/>
      </c>
      <c r="I18" s="5">
        <f>I17+IF(H18="Yes",1,0)</f>
        <v/>
      </c>
      <c r="J18" t="inlineStr">
        <is>
          <t>Add-on 8 · Docker Compose: the whole system in one file</t>
        </is>
      </c>
      <c r="K18" t="inlineStr">
        <is>
          <t>Add-on days</t>
        </is>
      </c>
      <c r="L18" t="inlineStr">
        <is>
          <t>Compose</t>
        </is>
      </c>
    </row>
    <row r="19" ht="32" customHeight="1">
      <c r="A19" s="19" t="inlineStr">
        <is>
          <t>Add-on 7</t>
        </is>
      </c>
      <c r="B19" s="7" t="inlineStr">
        <is>
          <t>Docker: containerising the services and the storefront</t>
        </is>
      </c>
      <c r="C19" s="8" t="inlineStr">
        <is>
          <t>Small, safe images for every Spring Boot service and the Next.js storefront: multi-stage builds, layered jars, the JVM in a container, hardening and scanning, buildpacks and Jib, then the whole system run by hand and pushed to a registry.</t>
        </is>
      </c>
      <c r="D19" s="8" t="inlineStr">
        <is>
          <t>Core Day 4.</t>
        </is>
      </c>
      <c r="E19" s="12" t="inlineStr">
        <is>
          <t>No</t>
        </is>
      </c>
      <c r="H19">
        <f>$E$21</f>
        <v/>
      </c>
      <c r="I19" s="5">
        <f>I18+IF(H19="Yes",1,0)</f>
        <v/>
      </c>
      <c r="J19" t="inlineStr">
        <is>
          <t>Add-on 9 · GitHub Actions: CI/CD for the whole system</t>
        </is>
      </c>
      <c r="K19" t="inlineStr">
        <is>
          <t>Add-on days</t>
        </is>
      </c>
      <c r="L19" t="inlineStr">
        <is>
          <t>GitHub Actions</t>
        </is>
      </c>
    </row>
    <row r="20" ht="32" customHeight="1">
      <c r="A20" s="20" t="inlineStr">
        <is>
          <t>Add-on 8</t>
        </is>
      </c>
      <c r="B20" s="7" t="inlineStr">
        <is>
          <t>Docker Compose: the whole system in one file</t>
        </is>
      </c>
      <c r="C20" s="8" t="inlineStr">
        <is>
          <t>One Compose file for services, storefront, PostgreSQL, MySQL, MongoDB, Redis, Keycloak and Mailpit, with health-checked start-up order, secrets, profiles, a fast inner loop and production-like runs.</t>
        </is>
      </c>
      <c r="D20" s="8" t="inlineStr">
        <is>
          <t>The Docker day.</t>
        </is>
      </c>
      <c r="E20" s="12" t="inlineStr">
        <is>
          <t>No</t>
        </is>
      </c>
      <c r="H20">
        <f>$E$22</f>
        <v/>
      </c>
      <c r="I20" s="5">
        <f>I19+IF(H20="Yes",1,0)</f>
        <v/>
      </c>
      <c r="J20" t="inlineStr">
        <is>
          <t>Add-on 10 · Event-driven microservices with Kafka</t>
        </is>
      </c>
      <c r="K20" t="inlineStr">
        <is>
          <t>Add-on days</t>
        </is>
      </c>
      <c r="L20" t="inlineStr">
        <is>
          <t>Kafka &amp; events</t>
        </is>
      </c>
    </row>
    <row r="21" ht="32" customHeight="1">
      <c r="A21" s="21" t="inlineStr">
        <is>
          <t>Add-on 9</t>
        </is>
      </c>
      <c r="B21" s="7" t="inlineStr">
        <is>
          <t>GitHub Actions: CI/CD for the whole system</t>
        </is>
      </c>
      <c r="C21" s="8" t="inlineStr">
        <is>
          <t>CI for a multi-service repository with caches, a matrix, path filters, Testcontainers and Playwright in CI, reusable workflows and a quality gate; then images to GHCR, OIDC to the cloud, gated environments, releases and a signed supply chain.</t>
        </is>
      </c>
      <c r="D21" s="8" t="inlineStr">
        <is>
          <t>The Docker day.</t>
        </is>
      </c>
      <c r="E21" s="12" t="inlineStr">
        <is>
          <t>No</t>
        </is>
      </c>
      <c r="H21">
        <f>$E$23</f>
        <v/>
      </c>
      <c r="I21" s="5">
        <f>I20+IF(H21="Yes",1,0)</f>
        <v/>
      </c>
      <c r="J21" t="inlineStr">
        <is>
          <t>Add-on 11 · Kubernetes: ShopScope on a cluster</t>
        </is>
      </c>
      <c r="K21" t="inlineStr">
        <is>
          <t>Add-on days</t>
        </is>
      </c>
      <c r="L21" t="inlineStr">
        <is>
          <t>Kubernetes</t>
        </is>
      </c>
    </row>
    <row r="22" ht="32" customHeight="1">
      <c r="A22" s="22" t="inlineStr">
        <is>
          <t>Add-on 10</t>
        </is>
      </c>
      <c r="B22" s="7" t="inlineStr">
        <is>
          <t>Event-driven microservices with Kafka</t>
        </is>
      </c>
      <c r="C22" s="8" t="inlineStr">
        <is>
          <t>Decouple services with events: Kafka, reliable consumers with retries and dead-letter topics, the outbox done properly with Debezium, a search read model, and the checkout saga across order, inventory and payment.</t>
        </is>
      </c>
      <c r="D22" s="8" t="inlineStr">
        <is>
          <t>Core Day 5. The Integrations day is recommended first.</t>
        </is>
      </c>
      <c r="E22" s="12" t="inlineStr">
        <is>
          <t>No</t>
        </is>
      </c>
      <c r="H22">
        <f>$E$24</f>
        <v/>
      </c>
      <c r="I22" s="5">
        <f>I21+IF(H22="Yes",1,0)</f>
        <v/>
      </c>
      <c r="J22" t="inlineStr">
        <is>
          <t>Add-on 12 · AI-enabled services with Spring AI</t>
        </is>
      </c>
      <c r="K22" t="inlineStr">
        <is>
          <t>Add-on days</t>
        </is>
      </c>
      <c r="L22" t="inlineStr">
        <is>
          <t>Spring AI</t>
        </is>
      </c>
    </row>
    <row r="23" ht="32" customHeight="1">
      <c r="A23" s="23" t="inlineStr">
        <is>
          <t>Add-on 11</t>
        </is>
      </c>
      <c r="B23" s="7" t="inlineStr">
        <is>
          <t>Kubernetes: ShopScope on a cluster</t>
        </is>
      </c>
      <c r="C23" s="8" t="inlineStr">
        <is>
          <t>Pods, Deployments, Services, configuration and secrets, probes, autoscaling and rolling updates, Helm charts for the system, and GitOps with Argo CD fed by the GitHub Actions pipeline.</t>
        </is>
      </c>
      <c r="D23" s="8" t="inlineStr">
        <is>
          <t>The Docker and Docker Compose days. GitHub Actions is recommended first.</t>
        </is>
      </c>
      <c r="E23" s="12" t="inlineStr">
        <is>
          <t>No</t>
        </is>
      </c>
      <c r="H23">
        <f>$E$25</f>
        <v/>
      </c>
      <c r="I23" s="5">
        <f>I22+IF(H23="Yes",1,0)</f>
        <v/>
      </c>
      <c r="J23" t="inlineStr">
        <is>
          <t>Add-on 13 · Production readiness, migration and capstone</t>
        </is>
      </c>
      <c r="K23" t="inlineStr">
        <is>
          <t>Add-on days</t>
        </is>
      </c>
      <c r="L23" t="inlineStr">
        <is>
          <t>Capstone</t>
        </is>
      </c>
    </row>
    <row r="24" ht="32" customHeight="1">
      <c r="A24" s="24" t="inlineStr">
        <is>
          <t>Add-on 12</t>
        </is>
      </c>
      <c r="B24" s="7" t="inlineStr">
        <is>
          <t>AI-enabled services with Spring AI</t>
        </is>
      </c>
      <c r="C24" s="8" t="inlineStr">
        <is>
          <t>A shopping assistant on the real system: ChatClient, structured output and chat memory, RAG over the catalogue with pgvector, tool calling through the secured API, guardrails and evaluation, an MCP server and the storefront widget.</t>
        </is>
      </c>
      <c r="D24" s="8" t="inlineStr">
        <is>
          <t>Core Day 4. Ollama locally, or an API key for a hosted model.</t>
        </is>
      </c>
      <c r="E24" s="12" t="inlineStr">
        <is>
          <t>No</t>
        </is>
      </c>
    </row>
    <row r="25" ht="32" customHeight="1">
      <c r="A25" s="25" t="inlineStr">
        <is>
          <t>Add-on 13</t>
        </is>
      </c>
      <c r="B25" s="7" t="inlineStr">
        <is>
          <t>Production readiness, migration and capstone</t>
        </is>
      </c>
      <c r="C25" s="8" t="inlineStr">
        <is>
          <t>A production checklist, upgrading legacy Spring code to Boot 4 with OpenRewrite, and a capstone service built and reviewed end to end.</t>
        </is>
      </c>
      <c r="D25" s="8" t="inlineStr">
        <is>
          <t>Core Days 1–5. Best taken last.</t>
        </is>
      </c>
      <c r="E25" s="12" t="inlineStr">
        <is>
          <t>No</t>
        </is>
      </c>
    </row>
    <row r="27">
      <c r="A27" s="26" t="inlineStr">
        <is>
          <t>Total</t>
        </is>
      </c>
      <c r="B27" s="27">
        <f>5+COUNTIF(E12:E25,"Yes")&amp;" training days"</f>
        <v/>
      </c>
    </row>
    <row r="28">
      <c r="B28" s="28">
        <f>IF(AND($E$16="Yes",$E$15&lt;&gt;"Yes"),"Storefront part 2 needs Storefront part 1 first.","")</f>
        <v/>
      </c>
    </row>
    <row r="29">
      <c r="B29" s="28">
        <f>IF(AND($E$18="Yes",$E$17&lt;&gt;"Yes"),"Testing part 2 needs Testing part 1 first.","")</f>
        <v/>
      </c>
    </row>
    <row r="30">
      <c r="B30" s="28">
        <f>IF(AND($E$20="Yes",$E$19&lt;&gt;"Yes"),"Docker Compose needs the Docker day first.","")</f>
        <v/>
      </c>
    </row>
    <row r="31">
      <c r="B31" s="28">
        <f>IF(AND($E$21="Yes",$E$19&lt;&gt;"Yes"),"GitHub Actions needs the Docker day first.","")</f>
        <v/>
      </c>
    </row>
    <row r="32">
      <c r="B32" s="28">
        <f>IF(AND($E$23="Yes",$E$20&lt;&gt;"Yes"),"Kubernetes needs the Docker and Docker Compose days first.","")</f>
        <v/>
      </c>
    </row>
    <row r="34" ht="20" customHeight="1">
      <c r="A34" s="4" t="inlineStr">
        <is>
          <t>Your programme, day by day</t>
        </is>
      </c>
    </row>
    <row r="35" ht="24" customHeight="1">
      <c r="A35" s="3" t="inlineStr">
        <is>
          <t>Day</t>
        </is>
      </c>
      <c r="B35" s="3" t="inlineStr">
        <is>
          <t>Title</t>
        </is>
      </c>
      <c r="C35" s="3" t="inlineStr">
        <is>
          <t>Details on sheet</t>
        </is>
      </c>
      <c r="D35" s="3" t="inlineStr"/>
      <c r="E35" s="3" t="inlineStr"/>
    </row>
    <row r="36">
      <c r="A36" s="29">
        <f>IF(ISNA(MATCH(1,$I$5:$I$23,0)),"","Day 1")</f>
        <v/>
      </c>
      <c r="B36" s="30">
        <f>IFERROR(INDEX($J$5:$J$23,MATCH(1,$I$5:$I$23,0)),"")</f>
        <v/>
      </c>
      <c r="C36" s="30">
        <f>IFERROR(INDEX($K$5:$K$23,MATCH(1,$I$5:$I$23,0)),"")</f>
        <v/>
      </c>
      <c r="L36">
        <f>IFERROR(INDEX($L$5:$L$23,MATCH(1,$I$5:$I$23,0)),"")</f>
        <v/>
      </c>
    </row>
    <row r="37">
      <c r="A37" s="29">
        <f>IF(ISNA(MATCH(2,$I$5:$I$23,0)),"","Day 2")</f>
        <v/>
      </c>
      <c r="B37" s="30">
        <f>IFERROR(INDEX($J$5:$J$23,MATCH(2,$I$5:$I$23,0)),"")</f>
        <v/>
      </c>
      <c r="C37" s="30">
        <f>IFERROR(INDEX($K$5:$K$23,MATCH(2,$I$5:$I$23,0)),"")</f>
        <v/>
      </c>
      <c r="L37">
        <f>IFERROR(INDEX($L$5:$L$23,MATCH(2,$I$5:$I$23,0)),"")</f>
        <v/>
      </c>
    </row>
    <row r="38">
      <c r="A38" s="29">
        <f>IF(ISNA(MATCH(3,$I$5:$I$23,0)),"","Day 3")</f>
        <v/>
      </c>
      <c r="B38" s="30">
        <f>IFERROR(INDEX($J$5:$J$23,MATCH(3,$I$5:$I$23,0)),"")</f>
        <v/>
      </c>
      <c r="C38" s="30">
        <f>IFERROR(INDEX($K$5:$K$23,MATCH(3,$I$5:$I$23,0)),"")</f>
        <v/>
      </c>
      <c r="L38">
        <f>IFERROR(INDEX($L$5:$L$23,MATCH(3,$I$5:$I$23,0)),"")</f>
        <v/>
      </c>
    </row>
    <row r="39">
      <c r="A39" s="29">
        <f>IF(ISNA(MATCH(4,$I$5:$I$23,0)),"","Day 4")</f>
        <v/>
      </c>
      <c r="B39" s="30">
        <f>IFERROR(INDEX($J$5:$J$23,MATCH(4,$I$5:$I$23,0)),"")</f>
        <v/>
      </c>
      <c r="C39" s="30">
        <f>IFERROR(INDEX($K$5:$K$23,MATCH(4,$I$5:$I$23,0)),"")</f>
        <v/>
      </c>
      <c r="L39">
        <f>IFERROR(INDEX($L$5:$L$23,MATCH(4,$I$5:$I$23,0)),"")</f>
        <v/>
      </c>
    </row>
    <row r="40">
      <c r="A40" s="29">
        <f>IF(ISNA(MATCH(5,$I$5:$I$23,0)),"","Day 5")</f>
        <v/>
      </c>
      <c r="B40" s="30">
        <f>IFERROR(INDEX($J$5:$J$23,MATCH(5,$I$5:$I$23,0)),"")</f>
        <v/>
      </c>
      <c r="C40" s="30">
        <f>IFERROR(INDEX($K$5:$K$23,MATCH(5,$I$5:$I$23,0)),"")</f>
        <v/>
      </c>
      <c r="L40">
        <f>IFERROR(INDEX($L$5:$L$23,MATCH(5,$I$5:$I$23,0)),"")</f>
        <v/>
      </c>
    </row>
    <row r="41">
      <c r="A41" s="29">
        <f>IF(ISNA(MATCH(6,$I$5:$I$23,0)),"","Day 6")</f>
        <v/>
      </c>
      <c r="B41" s="30">
        <f>IFERROR(INDEX($J$5:$J$23,MATCH(6,$I$5:$I$23,0)),"")</f>
        <v/>
      </c>
      <c r="C41" s="30">
        <f>IFERROR(INDEX($K$5:$K$23,MATCH(6,$I$5:$I$23,0)),"")</f>
        <v/>
      </c>
      <c r="L41">
        <f>IFERROR(INDEX($L$5:$L$23,MATCH(6,$I$5:$I$23,0)),"")</f>
        <v/>
      </c>
    </row>
    <row r="42">
      <c r="A42" s="29">
        <f>IF(ISNA(MATCH(7,$I$5:$I$23,0)),"","Day 7")</f>
        <v/>
      </c>
      <c r="B42" s="30">
        <f>IFERROR(INDEX($J$5:$J$23,MATCH(7,$I$5:$I$23,0)),"")</f>
        <v/>
      </c>
      <c r="C42" s="30">
        <f>IFERROR(INDEX($K$5:$K$23,MATCH(7,$I$5:$I$23,0)),"")</f>
        <v/>
      </c>
      <c r="L42">
        <f>IFERROR(INDEX($L$5:$L$23,MATCH(7,$I$5:$I$23,0)),"")</f>
        <v/>
      </c>
    </row>
    <row r="43">
      <c r="A43" s="29">
        <f>IF(ISNA(MATCH(8,$I$5:$I$23,0)),"","Day 8")</f>
        <v/>
      </c>
      <c r="B43" s="30">
        <f>IFERROR(INDEX($J$5:$J$23,MATCH(8,$I$5:$I$23,0)),"")</f>
        <v/>
      </c>
      <c r="C43" s="30">
        <f>IFERROR(INDEX($K$5:$K$23,MATCH(8,$I$5:$I$23,0)),"")</f>
        <v/>
      </c>
      <c r="L43">
        <f>IFERROR(INDEX($L$5:$L$23,MATCH(8,$I$5:$I$23,0)),"")</f>
        <v/>
      </c>
    </row>
    <row r="44">
      <c r="A44" s="29">
        <f>IF(ISNA(MATCH(9,$I$5:$I$23,0)),"","Day 9")</f>
        <v/>
      </c>
      <c r="B44" s="30">
        <f>IFERROR(INDEX($J$5:$J$23,MATCH(9,$I$5:$I$23,0)),"")</f>
        <v/>
      </c>
      <c r="C44" s="30">
        <f>IFERROR(INDEX($K$5:$K$23,MATCH(9,$I$5:$I$23,0)),"")</f>
        <v/>
      </c>
      <c r="L44">
        <f>IFERROR(INDEX($L$5:$L$23,MATCH(9,$I$5:$I$23,0)),"")</f>
        <v/>
      </c>
    </row>
    <row r="45">
      <c r="A45" s="29">
        <f>IF(ISNA(MATCH(10,$I$5:$I$23,0)),"","Day 10")</f>
        <v/>
      </c>
      <c r="B45" s="30">
        <f>IFERROR(INDEX($J$5:$J$23,MATCH(10,$I$5:$I$23,0)),"")</f>
        <v/>
      </c>
      <c r="C45" s="30">
        <f>IFERROR(INDEX($K$5:$K$23,MATCH(10,$I$5:$I$23,0)),"")</f>
        <v/>
      </c>
      <c r="L45">
        <f>IFERROR(INDEX($L$5:$L$23,MATCH(10,$I$5:$I$23,0)),"")</f>
        <v/>
      </c>
    </row>
    <row r="46">
      <c r="A46" s="29">
        <f>IF(ISNA(MATCH(11,$I$5:$I$23,0)),"","Day 11")</f>
        <v/>
      </c>
      <c r="B46" s="30">
        <f>IFERROR(INDEX($J$5:$J$23,MATCH(11,$I$5:$I$23,0)),"")</f>
        <v/>
      </c>
      <c r="C46" s="30">
        <f>IFERROR(INDEX($K$5:$K$23,MATCH(11,$I$5:$I$23,0)),"")</f>
        <v/>
      </c>
      <c r="L46">
        <f>IFERROR(INDEX($L$5:$L$23,MATCH(11,$I$5:$I$23,0)),"")</f>
        <v/>
      </c>
    </row>
    <row r="47">
      <c r="A47" s="29">
        <f>IF(ISNA(MATCH(12,$I$5:$I$23,0)),"","Day 12")</f>
        <v/>
      </c>
      <c r="B47" s="30">
        <f>IFERROR(INDEX($J$5:$J$23,MATCH(12,$I$5:$I$23,0)),"")</f>
        <v/>
      </c>
      <c r="C47" s="30">
        <f>IFERROR(INDEX($K$5:$K$23,MATCH(12,$I$5:$I$23,0)),"")</f>
        <v/>
      </c>
      <c r="L47">
        <f>IFERROR(INDEX($L$5:$L$23,MATCH(12,$I$5:$I$23,0)),"")</f>
        <v/>
      </c>
    </row>
    <row r="48">
      <c r="A48" s="29">
        <f>IF(ISNA(MATCH(13,$I$5:$I$23,0)),"","Day 13")</f>
        <v/>
      </c>
      <c r="B48" s="30">
        <f>IFERROR(INDEX($J$5:$J$23,MATCH(13,$I$5:$I$23,0)),"")</f>
        <v/>
      </c>
      <c r="C48" s="30">
        <f>IFERROR(INDEX($K$5:$K$23,MATCH(13,$I$5:$I$23,0)),"")</f>
        <v/>
      </c>
      <c r="L48">
        <f>IFERROR(INDEX($L$5:$L$23,MATCH(13,$I$5:$I$23,0)),"")</f>
        <v/>
      </c>
    </row>
    <row r="49">
      <c r="A49" s="29">
        <f>IF(ISNA(MATCH(14,$I$5:$I$23,0)),"","Day 14")</f>
        <v/>
      </c>
      <c r="B49" s="30">
        <f>IFERROR(INDEX($J$5:$J$23,MATCH(14,$I$5:$I$23,0)),"")</f>
        <v/>
      </c>
      <c r="C49" s="30">
        <f>IFERROR(INDEX($K$5:$K$23,MATCH(14,$I$5:$I$23,0)),"")</f>
        <v/>
      </c>
      <c r="L49">
        <f>IFERROR(INDEX($L$5:$L$23,MATCH(14,$I$5:$I$23,0)),"")</f>
        <v/>
      </c>
    </row>
    <row r="50">
      <c r="A50" s="29">
        <f>IF(ISNA(MATCH(15,$I$5:$I$23,0)),"","Day 15")</f>
        <v/>
      </c>
      <c r="B50" s="30">
        <f>IFERROR(INDEX($J$5:$J$23,MATCH(15,$I$5:$I$23,0)),"")</f>
        <v/>
      </c>
      <c r="C50" s="30">
        <f>IFERROR(INDEX($K$5:$K$23,MATCH(15,$I$5:$I$23,0)),"")</f>
        <v/>
      </c>
      <c r="L50">
        <f>IFERROR(INDEX($L$5:$L$23,MATCH(15,$I$5:$I$23,0)),"")</f>
        <v/>
      </c>
    </row>
    <row r="51">
      <c r="A51" s="29">
        <f>IF(ISNA(MATCH(16,$I$5:$I$23,0)),"","Day 16")</f>
        <v/>
      </c>
      <c r="B51" s="30">
        <f>IFERROR(INDEX($J$5:$J$23,MATCH(16,$I$5:$I$23,0)),"")</f>
        <v/>
      </c>
      <c r="C51" s="30">
        <f>IFERROR(INDEX($K$5:$K$23,MATCH(16,$I$5:$I$23,0)),"")</f>
        <v/>
      </c>
      <c r="L51">
        <f>IFERROR(INDEX($L$5:$L$23,MATCH(16,$I$5:$I$23,0)),"")</f>
        <v/>
      </c>
    </row>
    <row r="52">
      <c r="A52" s="29">
        <f>IF(ISNA(MATCH(17,$I$5:$I$23,0)),"","Day 17")</f>
        <v/>
      </c>
      <c r="B52" s="30">
        <f>IFERROR(INDEX($J$5:$J$23,MATCH(17,$I$5:$I$23,0)),"")</f>
        <v/>
      </c>
      <c r="C52" s="30">
        <f>IFERROR(INDEX($K$5:$K$23,MATCH(17,$I$5:$I$23,0)),"")</f>
        <v/>
      </c>
      <c r="L52">
        <f>IFERROR(INDEX($L$5:$L$23,MATCH(17,$I$5:$I$23,0)),"")</f>
        <v/>
      </c>
    </row>
    <row r="53">
      <c r="A53" s="29">
        <f>IF(ISNA(MATCH(18,$I$5:$I$23,0)),"","Day 18")</f>
        <v/>
      </c>
      <c r="B53" s="30">
        <f>IFERROR(INDEX($J$5:$J$23,MATCH(18,$I$5:$I$23,0)),"")</f>
        <v/>
      </c>
      <c r="C53" s="30">
        <f>IFERROR(INDEX($K$5:$K$23,MATCH(18,$I$5:$I$23,0)),"")</f>
        <v/>
      </c>
      <c r="L53">
        <f>IFERROR(INDEX($L$5:$L$23,MATCH(18,$I$5:$I$23,0)),"")</f>
        <v/>
      </c>
    </row>
    <row r="54">
      <c r="A54" s="29">
        <f>IF(ISNA(MATCH(19,$I$5:$I$23,0)),"","Day 19")</f>
        <v/>
      </c>
      <c r="B54" s="30">
        <f>IFERROR(INDEX($J$5:$J$23,MATCH(19,$I$5:$I$23,0)),"")</f>
        <v/>
      </c>
      <c r="C54" s="30">
        <f>IFERROR(INDEX($K$5:$K$23,MATCH(19,$I$5:$I$23,0)),"")</f>
        <v/>
      </c>
      <c r="L54">
        <f>IFERROR(INDEX($L$5:$L$23,MATCH(19,$I$5:$I$23,0)),"")</f>
        <v/>
      </c>
    </row>
  </sheetData>
  <mergeCells count="5">
    <mergeCell ref="A34:E34"/>
    <mergeCell ref="A2:E2"/>
    <mergeCell ref="A11:E11"/>
    <mergeCell ref="A1:E1"/>
    <mergeCell ref="A5:E5"/>
  </mergeCells>
  <conditionalFormatting sqref="A36:C54">
    <cfRule type="expression" priority="1" dxfId="0">
      <formula>$L36="Core"</formula>
    </cfRule>
    <cfRule type="expression" priority="2" dxfId="1">
      <formula>$L36="Bridge"</formula>
    </cfRule>
    <cfRule type="expression" priority="3" dxfId="2">
      <formula>$L36="Resilience"</formula>
    </cfRule>
    <cfRule type="expression" priority="4" dxfId="3">
      <formula>$L36="Integrations"</formula>
    </cfRule>
    <cfRule type="expression" priority="5" dxfId="4">
      <formula>$L36="Storefront 1"</formula>
    </cfRule>
    <cfRule type="expression" priority="6" dxfId="5">
      <formula>$L36="Storefront 2"</formula>
    </cfRule>
    <cfRule type="expression" priority="7" dxfId="6">
      <formula>$L36="Testing 1"</formula>
    </cfRule>
    <cfRule type="expression" priority="8" dxfId="7">
      <formula>$L36="Testing 2"</formula>
    </cfRule>
    <cfRule type="expression" priority="9" dxfId="8">
      <formula>$L36="Docker"</formula>
    </cfRule>
    <cfRule type="expression" priority="10" dxfId="9">
      <formula>$L36="Compose"</formula>
    </cfRule>
    <cfRule type="expression" priority="11" dxfId="10">
      <formula>$L36="GitHub Actions"</formula>
    </cfRule>
    <cfRule type="expression" priority="12" dxfId="11">
      <formula>$L36="Kafka &amp; events"</formula>
    </cfRule>
    <cfRule type="expression" priority="13" dxfId="12">
      <formula>$L36="Kubernetes"</formula>
    </cfRule>
    <cfRule type="expression" priority="14" dxfId="13">
      <formula>$L36="Spring AI"</formula>
    </cfRule>
    <cfRule type="expression" priority="15" dxfId="14">
      <formula>$L36="Capstone"</formula>
    </cfRule>
  </conditionalFormatting>
  <dataValidations count="1">
    <dataValidation sqref="E12 E13 E14 E15 E16 E17 E18 E19 E20 E21 E22 E23 E24 E25" showDropDown="0" showInputMessage="0" showErrorMessage="0" allowBlank="0" type="list">
      <formula1>"Yes,No"</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3"/>
  <sheetViews>
    <sheetView workbookViewId="0">
      <pane ySplit="4" topLeftCell="A5"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72" customWidth="1" min="6" max="6"/>
    <col width="40" customWidth="1" min="7" max="7"/>
  </cols>
  <sheetData>
    <row r="1" ht="30" customHeight="1">
      <c r="A1" s="1" t="inlineStr">
        <is>
          <t>ShopScope Commerce: Spring Boot and Microservices · the 5-day core</t>
        </is>
      </c>
    </row>
    <row r="2" ht="34" customHeight="1">
      <c r="A2" s="2" t="inlineStr">
        <is>
          <t>Five days every team takes: a plain-Java monolith and its problem register, Spring Core taking over the wiring, Spring Boot with a REST API and PostgreSQL, relationships, search and transactions, then the monolith split into microservices on PostgreSQL, MySQL and MongoDB behind a gateway, and security with JWT and Keycloak. Breaks are on each day sheet; this page shows the sessions only.</t>
        </is>
      </c>
    </row>
    <row r="4" ht="24" customHeight="1">
      <c r="A4" s="3" t="inlineStr">
        <is>
          <t>Session</t>
        </is>
      </c>
      <c r="B4" s="3" t="inlineStr">
        <is>
          <t>Start</t>
        </is>
      </c>
      <c r="C4" s="3" t="inlineStr">
        <is>
          <t>End</t>
        </is>
      </c>
      <c r="D4" s="3" t="inlineStr">
        <is>
          <t>Session title</t>
        </is>
      </c>
      <c r="E4" s="3" t="inlineStr">
        <is>
          <t>Demo</t>
        </is>
      </c>
      <c r="F4" s="3" t="inlineStr">
        <is>
          <t>Topics covered</t>
        </is>
      </c>
      <c r="G4" s="3" t="inlineStr">
        <is>
          <t>Labs covered</t>
        </is>
      </c>
    </row>
    <row r="5" ht="20" customHeight="1">
      <c r="A5" s="4" t="inlineStr">
        <is>
          <t>Day 1 — From a plain-Java monolith to Spring Core</t>
        </is>
      </c>
    </row>
    <row r="6" ht="62" customHeight="1">
      <c r="A6" s="31">
        <f>'Core Day 1'!A6</f>
        <v/>
      </c>
      <c r="B6" s="32">
        <f>'Core Day 1'!B6</f>
        <v/>
      </c>
      <c r="C6" s="32">
        <f>'Core Day 1'!C6</f>
        <v/>
      </c>
      <c r="D6" s="33">
        <f>'Core Day 1'!D6</f>
        <v/>
      </c>
      <c r="E6" s="34">
        <f>'Core Day 1'!E6</f>
        <v/>
      </c>
      <c r="F6" s="35">
        <f>'Core Day 1'!F6</f>
        <v/>
      </c>
      <c r="G6" s="35">
        <f>'Core Day 1'!G6</f>
        <v/>
      </c>
    </row>
    <row r="7" ht="62" customHeight="1">
      <c r="A7" s="31">
        <f>'Core Day 1'!A8</f>
        <v/>
      </c>
      <c r="B7" s="32">
        <f>'Core Day 1'!B8</f>
        <v/>
      </c>
      <c r="C7" s="32">
        <f>'Core Day 1'!C8</f>
        <v/>
      </c>
      <c r="D7" s="33">
        <f>'Core Day 1'!D8</f>
        <v/>
      </c>
      <c r="E7" s="34">
        <f>'Core Day 1'!E8</f>
        <v/>
      </c>
      <c r="F7" s="35">
        <f>'Core Day 1'!F8</f>
        <v/>
      </c>
      <c r="G7" s="35">
        <f>'Core Day 1'!G8</f>
        <v/>
      </c>
    </row>
    <row r="8" ht="62" customHeight="1">
      <c r="A8" s="31">
        <f>'Core Day 1'!A10</f>
        <v/>
      </c>
      <c r="B8" s="32">
        <f>'Core Day 1'!B10</f>
        <v/>
      </c>
      <c r="C8" s="32">
        <f>'Core Day 1'!C10</f>
        <v/>
      </c>
      <c r="D8" s="33">
        <f>'Core Day 1'!D10</f>
        <v/>
      </c>
      <c r="E8" s="34">
        <f>'Core Day 1'!E10</f>
        <v/>
      </c>
      <c r="F8" s="35">
        <f>'Core Day 1'!F10</f>
        <v/>
      </c>
      <c r="G8" s="35">
        <f>'Core Day 1'!G10</f>
        <v/>
      </c>
    </row>
    <row r="9" ht="62" customHeight="1">
      <c r="A9" s="31">
        <f>'Core Day 1'!A12</f>
        <v/>
      </c>
      <c r="B9" s="32">
        <f>'Core Day 1'!B12</f>
        <v/>
      </c>
      <c r="C9" s="32">
        <f>'Core Day 1'!C12</f>
        <v/>
      </c>
      <c r="D9" s="33">
        <f>'Core Day 1'!D12</f>
        <v/>
      </c>
      <c r="E9" s="34">
        <f>'Core Day 1'!E12</f>
        <v/>
      </c>
      <c r="F9" s="35">
        <f>'Core Day 1'!F12</f>
        <v/>
      </c>
      <c r="G9" s="35">
        <f>'Core Day 1'!G12</f>
        <v/>
      </c>
    </row>
    <row r="11" ht="20" customHeight="1">
      <c r="A11" s="4" t="inlineStr">
        <is>
          <t>Day 2 — Spring Boot, a REST API and PostgreSQL</t>
        </is>
      </c>
    </row>
    <row r="12" ht="62" customHeight="1">
      <c r="A12" s="31">
        <f>'Core Day 2'!A6</f>
        <v/>
      </c>
      <c r="B12" s="32">
        <f>'Core Day 2'!B6</f>
        <v/>
      </c>
      <c r="C12" s="32">
        <f>'Core Day 2'!C6</f>
        <v/>
      </c>
      <c r="D12" s="33">
        <f>'Core Day 2'!D6</f>
        <v/>
      </c>
      <c r="E12" s="34">
        <f>'Core Day 2'!E6</f>
        <v/>
      </c>
      <c r="F12" s="35">
        <f>'Core Day 2'!F6</f>
        <v/>
      </c>
      <c r="G12" s="35">
        <f>'Core Day 2'!G6</f>
        <v/>
      </c>
    </row>
    <row r="13" ht="62" customHeight="1">
      <c r="A13" s="31">
        <f>'Core Day 2'!A8</f>
        <v/>
      </c>
      <c r="B13" s="32">
        <f>'Core Day 2'!B8</f>
        <v/>
      </c>
      <c r="C13" s="32">
        <f>'Core Day 2'!C8</f>
        <v/>
      </c>
      <c r="D13" s="33">
        <f>'Core Day 2'!D8</f>
        <v/>
      </c>
      <c r="E13" s="34">
        <f>'Core Day 2'!E8</f>
        <v/>
      </c>
      <c r="F13" s="35">
        <f>'Core Day 2'!F8</f>
        <v/>
      </c>
      <c r="G13" s="35">
        <f>'Core Day 2'!G8</f>
        <v/>
      </c>
    </row>
    <row r="14" ht="62" customHeight="1">
      <c r="A14" s="31">
        <f>'Core Day 2'!A10</f>
        <v/>
      </c>
      <c r="B14" s="32">
        <f>'Core Day 2'!B10</f>
        <v/>
      </c>
      <c r="C14" s="32">
        <f>'Core Day 2'!C10</f>
        <v/>
      </c>
      <c r="D14" s="33">
        <f>'Core Day 2'!D10</f>
        <v/>
      </c>
      <c r="E14" s="34">
        <f>'Core Day 2'!E10</f>
        <v/>
      </c>
      <c r="F14" s="35">
        <f>'Core Day 2'!F10</f>
        <v/>
      </c>
      <c r="G14" s="35">
        <f>'Core Day 2'!G10</f>
        <v/>
      </c>
    </row>
    <row r="15" ht="62" customHeight="1">
      <c r="A15" s="31">
        <f>'Core Day 2'!A12</f>
        <v/>
      </c>
      <c r="B15" s="32">
        <f>'Core Day 2'!B12</f>
        <v/>
      </c>
      <c r="C15" s="32">
        <f>'Core Day 2'!C12</f>
        <v/>
      </c>
      <c r="D15" s="33">
        <f>'Core Day 2'!D12</f>
        <v/>
      </c>
      <c r="E15" s="34">
        <f>'Core Day 2'!E12</f>
        <v/>
      </c>
      <c r="F15" s="35">
        <f>'Core Day 2'!F12</f>
        <v/>
      </c>
      <c r="G15" s="35">
        <f>'Core Day 2'!G12</f>
        <v/>
      </c>
    </row>
    <row r="17" ht="20" customHeight="1">
      <c r="A17" s="4" t="inlineStr">
        <is>
          <t>Day 3 — Relationships, search, transactions and the safety net</t>
        </is>
      </c>
    </row>
    <row r="18" ht="62" customHeight="1">
      <c r="A18" s="31">
        <f>'Core Day 3'!A6</f>
        <v/>
      </c>
      <c r="B18" s="32">
        <f>'Core Day 3'!B6</f>
        <v/>
      </c>
      <c r="C18" s="32">
        <f>'Core Day 3'!C6</f>
        <v/>
      </c>
      <c r="D18" s="33">
        <f>'Core Day 3'!D6</f>
        <v/>
      </c>
      <c r="E18" s="34">
        <f>'Core Day 3'!E6</f>
        <v/>
      </c>
      <c r="F18" s="35">
        <f>'Core Day 3'!F6</f>
        <v/>
      </c>
      <c r="G18" s="35">
        <f>'Core Day 3'!G6</f>
        <v/>
      </c>
    </row>
    <row r="19" ht="62" customHeight="1">
      <c r="A19" s="31">
        <f>'Core Day 3'!A8</f>
        <v/>
      </c>
      <c r="B19" s="32">
        <f>'Core Day 3'!B8</f>
        <v/>
      </c>
      <c r="C19" s="32">
        <f>'Core Day 3'!C8</f>
        <v/>
      </c>
      <c r="D19" s="33">
        <f>'Core Day 3'!D8</f>
        <v/>
      </c>
      <c r="E19" s="34">
        <f>'Core Day 3'!E8</f>
        <v/>
      </c>
      <c r="F19" s="35">
        <f>'Core Day 3'!F8</f>
        <v/>
      </c>
      <c r="G19" s="35">
        <f>'Core Day 3'!G8</f>
        <v/>
      </c>
    </row>
    <row r="20" ht="62" customHeight="1">
      <c r="A20" s="31">
        <f>'Core Day 3'!A10</f>
        <v/>
      </c>
      <c r="B20" s="32">
        <f>'Core Day 3'!B10</f>
        <v/>
      </c>
      <c r="C20" s="32">
        <f>'Core Day 3'!C10</f>
        <v/>
      </c>
      <c r="D20" s="33">
        <f>'Core Day 3'!D10</f>
        <v/>
      </c>
      <c r="E20" s="34">
        <f>'Core Day 3'!E10</f>
        <v/>
      </c>
      <c r="F20" s="35">
        <f>'Core Day 3'!F10</f>
        <v/>
      </c>
      <c r="G20" s="35">
        <f>'Core Day 3'!G10</f>
        <v/>
      </c>
    </row>
    <row r="21" ht="62" customHeight="1">
      <c r="A21" s="31">
        <f>'Core Day 3'!A12</f>
        <v/>
      </c>
      <c r="B21" s="32">
        <f>'Core Day 3'!B12</f>
        <v/>
      </c>
      <c r="C21" s="32">
        <f>'Core Day 3'!C12</f>
        <v/>
      </c>
      <c r="D21" s="33">
        <f>'Core Day 3'!D12</f>
        <v/>
      </c>
      <c r="E21" s="34">
        <f>'Core Day 3'!E12</f>
        <v/>
      </c>
      <c r="F21" s="35">
        <f>'Core Day 3'!F12</f>
        <v/>
      </c>
      <c r="G21" s="35">
        <f>'Core Day 3'!G12</f>
        <v/>
      </c>
    </row>
    <row r="23" ht="20" customHeight="1">
      <c r="A23" s="4" t="inlineStr">
        <is>
          <t>Day 4 — From monolith to microservices</t>
        </is>
      </c>
    </row>
    <row r="24" ht="62" customHeight="1">
      <c r="A24" s="31">
        <f>'Core Day 4'!A6</f>
        <v/>
      </c>
      <c r="B24" s="32">
        <f>'Core Day 4'!B6</f>
        <v/>
      </c>
      <c r="C24" s="32">
        <f>'Core Day 4'!C6</f>
        <v/>
      </c>
      <c r="D24" s="33">
        <f>'Core Day 4'!D6</f>
        <v/>
      </c>
      <c r="E24" s="34">
        <f>'Core Day 4'!E6</f>
        <v/>
      </c>
      <c r="F24" s="35">
        <f>'Core Day 4'!F6</f>
        <v/>
      </c>
      <c r="G24" s="35">
        <f>'Core Day 4'!G6</f>
        <v/>
      </c>
    </row>
    <row r="25" ht="62" customHeight="1">
      <c r="A25" s="31">
        <f>'Core Day 4'!A8</f>
        <v/>
      </c>
      <c r="B25" s="32">
        <f>'Core Day 4'!B8</f>
        <v/>
      </c>
      <c r="C25" s="32">
        <f>'Core Day 4'!C8</f>
        <v/>
      </c>
      <c r="D25" s="33">
        <f>'Core Day 4'!D8</f>
        <v/>
      </c>
      <c r="E25" s="34">
        <f>'Core Day 4'!E8</f>
        <v/>
      </c>
      <c r="F25" s="35">
        <f>'Core Day 4'!F8</f>
        <v/>
      </c>
      <c r="G25" s="35">
        <f>'Core Day 4'!G8</f>
        <v/>
      </c>
    </row>
    <row r="26" ht="62" customHeight="1">
      <c r="A26" s="31">
        <f>'Core Day 4'!A10</f>
        <v/>
      </c>
      <c r="B26" s="32">
        <f>'Core Day 4'!B10</f>
        <v/>
      </c>
      <c r="C26" s="32">
        <f>'Core Day 4'!C10</f>
        <v/>
      </c>
      <c r="D26" s="33">
        <f>'Core Day 4'!D10</f>
        <v/>
      </c>
      <c r="E26" s="34">
        <f>'Core Day 4'!E10</f>
        <v/>
      </c>
      <c r="F26" s="35">
        <f>'Core Day 4'!F10</f>
        <v/>
      </c>
      <c r="G26" s="35">
        <f>'Core Day 4'!G10</f>
        <v/>
      </c>
    </row>
    <row r="27" ht="62" customHeight="1">
      <c r="A27" s="31">
        <f>'Core Day 4'!A12</f>
        <v/>
      </c>
      <c r="B27" s="32">
        <f>'Core Day 4'!B12</f>
        <v/>
      </c>
      <c r="C27" s="32">
        <f>'Core Day 4'!C12</f>
        <v/>
      </c>
      <c r="D27" s="33">
        <f>'Core Day 4'!D12</f>
        <v/>
      </c>
      <c r="E27" s="34">
        <f>'Core Day 4'!E12</f>
        <v/>
      </c>
      <c r="F27" s="35">
        <f>'Core Day 4'!F12</f>
        <v/>
      </c>
      <c r="G27" s="35">
        <f>'Core Day 4'!G12</f>
        <v/>
      </c>
    </row>
    <row r="29" ht="20" customHeight="1">
      <c r="A29" s="4" t="inlineStr">
        <is>
          <t>Day 5 — Security: Spring Security, JWT, securing the system, and Keycloak</t>
        </is>
      </c>
    </row>
    <row r="30" ht="62" customHeight="1">
      <c r="A30" s="31">
        <f>'Core Day 5'!A6</f>
        <v/>
      </c>
      <c r="B30" s="32">
        <f>'Core Day 5'!B6</f>
        <v/>
      </c>
      <c r="C30" s="32">
        <f>'Core Day 5'!C6</f>
        <v/>
      </c>
      <c r="D30" s="33">
        <f>'Core Day 5'!D6</f>
        <v/>
      </c>
      <c r="E30" s="34">
        <f>'Core Day 5'!E6</f>
        <v/>
      </c>
      <c r="F30" s="35">
        <f>'Core Day 5'!F6</f>
        <v/>
      </c>
      <c r="G30" s="35">
        <f>'Core Day 5'!G6</f>
        <v/>
      </c>
    </row>
    <row r="31" ht="62" customHeight="1">
      <c r="A31" s="31">
        <f>'Core Day 5'!A8</f>
        <v/>
      </c>
      <c r="B31" s="32">
        <f>'Core Day 5'!B8</f>
        <v/>
      </c>
      <c r="C31" s="32">
        <f>'Core Day 5'!C8</f>
        <v/>
      </c>
      <c r="D31" s="33">
        <f>'Core Day 5'!D8</f>
        <v/>
      </c>
      <c r="E31" s="34">
        <f>'Core Day 5'!E8</f>
        <v/>
      </c>
      <c r="F31" s="35">
        <f>'Core Day 5'!F8</f>
        <v/>
      </c>
      <c r="G31" s="35">
        <f>'Core Day 5'!G8</f>
        <v/>
      </c>
    </row>
    <row r="32" ht="62" customHeight="1">
      <c r="A32" s="31">
        <f>'Core Day 5'!A10</f>
        <v/>
      </c>
      <c r="B32" s="32">
        <f>'Core Day 5'!B10</f>
        <v/>
      </c>
      <c r="C32" s="32">
        <f>'Core Day 5'!C10</f>
        <v/>
      </c>
      <c r="D32" s="33">
        <f>'Core Day 5'!D10</f>
        <v/>
      </c>
      <c r="E32" s="34">
        <f>'Core Day 5'!E10</f>
        <v/>
      </c>
      <c r="F32" s="35">
        <f>'Core Day 5'!F10</f>
        <v/>
      </c>
      <c r="G32" s="35">
        <f>'Core Day 5'!G10</f>
        <v/>
      </c>
    </row>
    <row r="33" ht="62" customHeight="1">
      <c r="A33" s="31">
        <f>'Core Day 5'!A12</f>
        <v/>
      </c>
      <c r="B33" s="32">
        <f>'Core Day 5'!B12</f>
        <v/>
      </c>
      <c r="C33" s="32">
        <f>'Core Day 5'!C12</f>
        <v/>
      </c>
      <c r="D33" s="33">
        <f>'Core Day 5'!D12</f>
        <v/>
      </c>
      <c r="E33" s="34">
        <f>'Core Day 5'!E12</f>
        <v/>
      </c>
      <c r="F33" s="35">
        <f>'Core Day 5'!F12</f>
        <v/>
      </c>
      <c r="G33" s="35">
        <f>'Core Day 5'!G12</f>
        <v/>
      </c>
    </row>
  </sheetData>
  <mergeCells count="7">
    <mergeCell ref="A1:G1"/>
    <mergeCell ref="A17:G17"/>
    <mergeCell ref="A2:G2"/>
    <mergeCell ref="A29:G29"/>
    <mergeCell ref="A11:G11"/>
    <mergeCell ref="A5:G5"/>
    <mergeCell ref="A23:G23"/>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2"/>
  <sheetViews>
    <sheetView workbookViewId="0">
      <pane ySplit="5" topLeftCell="A6"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66" customWidth="1" min="6" max="6"/>
    <col width="46" customWidth="1" min="7" max="7"/>
  </cols>
  <sheetData>
    <row r="1" ht="30" customHeight="1">
      <c r="A1" s="1" t="inlineStr">
        <is>
          <t>Day 1 — From a plain-Java monolith to Spring Core</t>
        </is>
      </c>
    </row>
    <row r="2" ht="34" customHeight="1">
      <c r="A2" s="2" t="inlineStr">
        <is>
          <t>ShopScope Commerce, the online store built across the whole programme, starts as a plain-Java monolith: the whole backend in one process, wired by hand, with a written register of its problems. Then Spring takes over the wiring, and configuration, events and aspects move out of the business code.</t>
        </is>
      </c>
    </row>
    <row r="3" ht="28" customHeight="1">
      <c r="A3" s="36" t="inlineStr">
        <is>
          <t>Demo 1's code is pre-built; its labs read, run, break and measure it. Lab 7 (the testing context) of Demo 3 is demonstrated rather than typed.</t>
        </is>
      </c>
    </row>
    <row r="5" ht="24" customHeight="1">
      <c r="A5" s="3" t="inlineStr">
        <is>
          <t>Session</t>
        </is>
      </c>
      <c r="B5" s="3" t="inlineStr">
        <is>
          <t>Start</t>
        </is>
      </c>
      <c r="C5" s="3" t="inlineStr">
        <is>
          <t>End</t>
        </is>
      </c>
      <c r="D5" s="3" t="inlineStr">
        <is>
          <t>Session title</t>
        </is>
      </c>
      <c r="E5" s="3" t="inlineStr">
        <is>
          <t>Demo</t>
        </is>
      </c>
      <c r="F5" s="3" t="inlineStr">
        <is>
          <t>Topics covered</t>
        </is>
      </c>
      <c r="G5" s="3" t="inlineStr">
        <is>
          <t>Labs covered</t>
        </is>
      </c>
    </row>
    <row r="6" ht="90" customHeight="1">
      <c r="A6" s="6" t="inlineStr">
        <is>
          <t>S1</t>
        </is>
      </c>
      <c r="B6" s="37">
        <f>'Settings and notes'!$C$4</f>
        <v/>
      </c>
      <c r="C6" s="37">
        <f>B6+TIME(1,10,0)</f>
        <v/>
      </c>
      <c r="D6" s="7" t="inlineStr">
        <is>
          <t>ShopScope as a plain-Java monolith</t>
        </is>
      </c>
      <c r="E6" s="38" t="inlineStr">
        <is>
          <t>Demo 1</t>
        </is>
      </c>
      <c r="F6" s="8" t="inlineStr">
        <is>
          <t>The whole backend in miniature, with no framework: seven modules behind the same /api contract the microservices will later serve, in-memory stores, a composition root made of "new", a hand-written properties loader, logging pasted into every method and a hand-rolled HTTP layer. It works. The session is about seeing why it will not keep working: the dependency arrows that should not exist, the untestable OrderService with its hidden gateway, the overselling bug when a payment fails after stock was decremented, and the problem register every later demo closes one line at a time.</t>
        </is>
      </c>
      <c r="G6" s="8" t="inlineStr">
        <is>
          <t>Lab 1 Tour: the seven modules and the arrows that should not exist (10)
Lab 2 The composition root: add one dependency and count the files you touch (15)
Lab 3 Try to unit-test OrderService (10)
Lab 4 The shared in-memory store and the overselling bug (15)
Lab 5 The problem register (10)</t>
        </is>
      </c>
    </row>
    <row r="7">
      <c r="A7" s="39" t="inlineStr">
        <is>
          <t>Break</t>
        </is>
      </c>
      <c r="B7" s="40">
        <f>C6</f>
        <v/>
      </c>
      <c r="C7" s="40">
        <f>B7+'Settings and notes'!$C$5/1440</f>
        <v/>
      </c>
      <c r="D7" s="39" t="n"/>
      <c r="E7" s="39" t="n"/>
      <c r="F7" s="39" t="n"/>
      <c r="G7" s="39" t="n"/>
    </row>
    <row r="8" ht="90" customHeight="1">
      <c r="A8" s="6" t="inlineStr">
        <is>
          <t>S2</t>
        </is>
      </c>
      <c r="B8" s="37">
        <f>C7</f>
        <v/>
      </c>
      <c r="C8" s="37">
        <f>B8+TIME(1,30,0)</f>
        <v/>
      </c>
      <c r="D8" s="7" t="inlineStr">
        <is>
          <t>The container takes over the wiring</t>
        </is>
      </c>
      <c r="E8" s="38" t="inlineStr">
        <is>
          <t>Demo 2 (part 1)</t>
        </is>
      </c>
      <c r="F8" s="8" t="inlineStr">
        <is>
          <t>The composition root of Demo 1 becomes the container's job. Dependency injection by hand, then with the container: ApplicationContext, @Configuration and @Bean. Every way to define a bean: @Component and stereotypes with scanning, @Bean and @Import, XML (read it, for legacy code), FactoryBean and programmatic registration. Injection: constructor vs setter vs field, optional dependencies, @Primary and @Qualifier, a custom qualifier, injecting a List or Map (the discount-rule chain), ObjectProvider and @Lazy. OrderService becomes testable.</t>
        </is>
      </c>
      <c r="G8" s="8" t="inlineStr">
        <is>
          <t>Lab 1 The wiring problem, and dependency injection by hand (15)
Lab 2 The container: @Configuration and @Bean (20)
Lab 3 Every way to define a bean (25)
Lab 4 Injection: constructor, qualifiers, List and Map (25)</t>
        </is>
      </c>
    </row>
    <row r="9">
      <c r="A9" s="39" t="inlineStr">
        <is>
          <t>Lunch</t>
        </is>
      </c>
      <c r="B9" s="40">
        <f>C8</f>
        <v/>
      </c>
      <c r="C9" s="40">
        <f>B9+'Settings and notes'!$C$6/1440</f>
        <v/>
      </c>
      <c r="D9" s="39" t="n"/>
      <c r="E9" s="39" t="n"/>
      <c r="F9" s="39" t="n"/>
      <c r="G9" s="39" t="n"/>
    </row>
    <row r="10" ht="75" customHeight="1">
      <c r="A10" s="6" t="inlineStr">
        <is>
          <t>S3</t>
        </is>
      </c>
      <c r="B10" s="37">
        <f>C9</f>
        <v/>
      </c>
      <c r="C10" s="37">
        <f>B10+TIME(1,20,0)</f>
        <v/>
      </c>
      <c r="D10" s="7" t="inlineStr">
        <is>
          <t>Scopes, the bean lifecycle and post-processors</t>
        </is>
      </c>
      <c r="E10" s="38" t="inlineStr">
        <is>
          <t>Demo 2 (part 2)</t>
        </is>
      </c>
      <c r="F10" s="8" t="inlineStr">
        <is>
          <t>Singleton vs prototype and the stateful-singleton bug; a prototype inside a singleton. The bean lifecycle traced end to end: instantiation, population, Aware interfaces, BeanPostProcessor before and after (where proxies appear), @PostConstruct, afterPropertiesSet, init methods, @PreDestroy and SmartLifecycle. BeanFactoryPostProcessor vs BeanPostProcessor, bean definition overriding, and circular dependencies.</t>
        </is>
      </c>
      <c r="G10" s="8" t="inlineStr">
        <is>
          <t>Lab 5 Scopes and the stateful singleton (15)
Lab 6 The lifecycle, traced end to end (25)
Lab 7 A BeanFactoryPostProcessor and a BeanPostProcessor (15)
Lab 8 Overriding and circular dependencies (10)</t>
        </is>
      </c>
    </row>
    <row r="11">
      <c r="A11" s="39" t="inlineStr">
        <is>
          <t>Break</t>
        </is>
      </c>
      <c r="B11" s="40">
        <f>C10</f>
        <v/>
      </c>
      <c r="C11" s="40">
        <f>B11+'Settings and notes'!$C$5/1440</f>
        <v/>
      </c>
      <c r="D11" s="39" t="n"/>
      <c r="E11" s="39" t="n"/>
      <c r="F11" s="39" t="n"/>
      <c r="G11" s="39" t="n"/>
    </row>
    <row r="12" ht="90" customHeight="1">
      <c r="A12" s="6" t="inlineStr">
        <is>
          <t>S4</t>
        </is>
      </c>
      <c r="B12" s="37">
        <f>C11</f>
        <v/>
      </c>
      <c r="C12" s="37">
        <f>B12+TIME(1,35,0)</f>
        <v/>
      </c>
      <c r="D12" s="7" t="inlineStr">
        <is>
          <t>Configuration, events and aspects move out of the business code</t>
        </is>
      </c>
      <c r="E12" s="38" t="inlineStr">
        <is>
          <t>Demo 3</t>
        </is>
      </c>
      <c r="F12" s="8" t="inlineStr">
        <is>
          <t>Environment, @PropertySource, @Value and SpEL replace the hand-written properties loader. Profiles: tax rules per region (India, UK, US). @Conditional with a custom condition. Application events: OrderPlaced reaches the notification module without a direct call; @EventListener, ordering and async listeners. AOP: a proxy by hand, JDK vs CGLIB, @Aspect, pointcuts and @Around; the pasted timing and audit code becomes one @Audited aspect; and the self-invocation trap that explains why @Transactional and @Cacheable sometimes do nothing.</t>
        </is>
      </c>
      <c r="G12" s="8" t="inlineStr">
        <is>
          <t>Lab 1 Environment, @Value and SpEL replace the properties loader (15)
Lab 2 Profiles: tax rules per region (15)
Lab 3 A custom @Conditional (10)
Lab 4 Application events: OrderPlaced (15)
Lab 5 AOP: proxies, aspects and @Audited (25)
Lab 6 The self-invocation trap (5)</t>
        </is>
      </c>
    </row>
  </sheetData>
  <mergeCells count="3">
    <mergeCell ref="A3:G3"/>
    <mergeCell ref="A2:G2"/>
    <mergeCell ref="A1:G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2"/>
  <sheetViews>
    <sheetView workbookViewId="0">
      <pane ySplit="5" topLeftCell="A6"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66" customWidth="1" min="6" max="6"/>
    <col width="46" customWidth="1" min="7" max="7"/>
  </cols>
  <sheetData>
    <row r="1" ht="30" customHeight="1">
      <c r="A1" s="1" t="inlineStr">
        <is>
          <t>Day 2 — Spring Boot, a REST API and PostgreSQL</t>
        </is>
      </c>
    </row>
    <row r="2" ht="34" customHeight="1">
      <c r="A2" s="2" t="inlineStr">
        <is>
          <t>The monolith becomes a Spring Boot application with a starter of its own. Its hand-rolled HTTP layer becomes a REST API the storefront can rely on (stores and regions first, then products), with one error contract and live documentation, and the catalogue leaves memory for PostgreSQL with versioned migrations and localised data.</t>
        </is>
      </c>
    </row>
    <row r="3" ht="28" customHeight="1">
      <c r="A3" s="36" t="inlineStr">
        <is>
          <t>API versioning, ETags and the structured-logging lab are demonstrated rather than typed; their code is in the finished demo.</t>
        </is>
      </c>
    </row>
    <row r="5" ht="24" customHeight="1">
      <c r="A5" s="3" t="inlineStr">
        <is>
          <t>Session</t>
        </is>
      </c>
      <c r="B5" s="3" t="inlineStr">
        <is>
          <t>Start</t>
        </is>
      </c>
      <c r="C5" s="3" t="inlineStr">
        <is>
          <t>End</t>
        </is>
      </c>
      <c r="D5" s="3" t="inlineStr">
        <is>
          <t>Session title</t>
        </is>
      </c>
      <c r="E5" s="3" t="inlineStr">
        <is>
          <t>Demo</t>
        </is>
      </c>
      <c r="F5" s="3" t="inlineStr">
        <is>
          <t>Topics covered</t>
        </is>
      </c>
      <c r="G5" s="3" t="inlineStr">
        <is>
          <t>Labs covered</t>
        </is>
      </c>
    </row>
    <row r="6" ht="75" customHeight="1">
      <c r="A6" s="6" t="inlineStr">
        <is>
          <t>S1</t>
        </is>
      </c>
      <c r="B6" s="37">
        <f>'Settings and notes'!$C$4</f>
        <v/>
      </c>
      <c r="C6" s="37">
        <f>B6+TIME(1,30,0)</f>
        <v/>
      </c>
      <c r="D6" s="7" t="inlineStr">
        <is>
          <t>The monolith becomes a Spring Boot application</t>
        </is>
      </c>
      <c r="E6" s="38" t="inlineStr">
        <is>
          <t>Demo 4</t>
        </is>
      </c>
      <c r="F6" s="8" t="inlineStr">
        <is>
          <t>Adding Boot to the same project: the parent, starters, @SpringBootApplication taken apart. Auto-configuration: delete what Boot now provides, read the conditions report, override with @ConditionalOnMissingBean. Externalised configuration: application.yml, property-source order, profiles, @ConfigurationProperties records with validation. Our own auto-configuration in libs/shopscope-starter (request ids, a clock, the shopper session). ApplicationRunner, Actuator and the executable jar.</t>
        </is>
      </c>
      <c r="G6" s="8" t="inlineStr">
        <is>
          <t>Lab 1 Add Boot: parent, starters, @SpringBootApplication (20)
Lab 2 Auto-configuration and the conditions report (20)
Lab 3 Externalised configuration (15)
Lab 4 Write our own starter (20)
Lab 5 Actuator and the executable jar (10)</t>
        </is>
      </c>
    </row>
    <row r="7">
      <c r="A7" s="39" t="inlineStr">
        <is>
          <t>Break</t>
        </is>
      </c>
      <c r="B7" s="40">
        <f>C6</f>
        <v/>
      </c>
      <c r="C7" s="40">
        <f>B7+'Settings and notes'!$C$5/1440</f>
        <v/>
      </c>
      <c r="D7" s="39" t="n"/>
      <c r="E7" s="39" t="n"/>
      <c r="F7" s="39" t="n"/>
      <c r="G7" s="39" t="n"/>
    </row>
    <row r="8" ht="90" customHeight="1">
      <c r="A8" s="6" t="inlineStr">
        <is>
          <t>S2</t>
        </is>
      </c>
      <c r="B8" s="37">
        <f>C7</f>
        <v/>
      </c>
      <c r="C8" s="37">
        <f>B8+TIME(1,35,0)</f>
        <v/>
      </c>
      <c r="D8" s="7" t="inlineStr">
        <is>
          <t>The hand-rolled HTTP layer becomes a REST API</t>
        </is>
      </c>
      <c r="E8" s="38" t="inlineStr">
        <is>
          <t>Demo 5</t>
        </is>
      </c>
      <c r="F8" s="8" t="inlineStr">
        <is>
          <t>A multi-module build: a parent POM and one Maven module per bounded context, with the dependency rules the modules may not break. Spring MVC under REST: DispatcherServlet, handler mapping, message converters. Resource design: URIs, methods, idempotency, status codes, and the /api contract we keep. Stores and the store context (country, language, currency) as the first resource, then product CRUD with ResponseEntity, Location headers, 204 and 404 replacing the HttpServer handlers. View records, MapStruct and hand-written mappers, Jackson 3, and .http request files.</t>
        </is>
      </c>
      <c r="G8" s="8" t="inlineStr">
        <is>
          <t>Lab 1 One Maven module per bounded context (15)
Lab 2 Spring MVC under REST, and resource design (15)
Lab 3 Stores and the store context (20)
Lab 4 Product CRUD replaces the HttpServer handlers (25)
Lab 5 View records and MapStruct (15)</t>
        </is>
      </c>
    </row>
    <row r="9">
      <c r="A9" s="39" t="inlineStr">
        <is>
          <t>Lunch</t>
        </is>
      </c>
      <c r="B9" s="40">
        <f>C8</f>
        <v/>
      </c>
      <c r="C9" s="40">
        <f>B9+'Settings and notes'!$C$6/1440</f>
        <v/>
      </c>
      <c r="D9" s="39" t="n"/>
      <c r="E9" s="39" t="n"/>
      <c r="F9" s="39" t="n"/>
      <c r="G9" s="39" t="n"/>
    </row>
    <row r="10" ht="75" customHeight="1">
      <c r="A10" s="6" t="inlineStr">
        <is>
          <t>S3</t>
        </is>
      </c>
      <c r="B10" s="37">
        <f>C9</f>
        <v/>
      </c>
      <c r="C10" s="37">
        <f>B10+TIME(1,25,0)</f>
        <v/>
      </c>
      <c r="D10" s="7" t="inlineStr">
        <is>
          <t>One error contract, and an API people can read</t>
        </is>
      </c>
      <c r="E10" s="38" t="inlineStr">
        <is>
          <t>Demo 6</t>
        </is>
      </c>
      <c r="F10" s="8" t="inlineStr">
        <is>
          <t>Bean Validation on requests, groups and a custom constraint (@ValidSku). One error contract: ProblemDetail (RFC 9457) from @RestControllerAdvice, moved into the shared starter so every module, and later every service, answers the same way. Paging, sorting and filtering in the contract. API versioning with Spring Framework 7, OpenAPI 3 with springdoc and Swagger UI, and conditional requests with ETags.</t>
        </is>
      </c>
      <c r="G10" s="8" t="inlineStr">
        <is>
          <t>Lab 1 Bean Validation and a custom constraint (20)
Lab 2 One error contract with ProblemDetail (25)
Lab 3 Paging, sorting and filtering (15)
Lab 4 OpenAPI and Swagger UI (15)</t>
        </is>
      </c>
    </row>
    <row r="11">
      <c r="A11" s="39" t="inlineStr">
        <is>
          <t>Break</t>
        </is>
      </c>
      <c r="B11" s="40">
        <f>C10</f>
        <v/>
      </c>
      <c r="C11" s="40">
        <f>B11+'Settings and notes'!$C$5/1440</f>
        <v/>
      </c>
      <c r="D11" s="39" t="n"/>
      <c r="E11" s="39" t="n"/>
      <c r="F11" s="39" t="n"/>
      <c r="G11" s="39" t="n"/>
    </row>
    <row r="12" ht="75" customHeight="1">
      <c r="A12" s="6" t="inlineStr">
        <is>
          <t>S4</t>
        </is>
      </c>
      <c r="B12" s="37">
        <f>C11</f>
        <v/>
      </c>
      <c r="C12" s="37">
        <f>B12+TIME(1,30,0)</f>
        <v/>
      </c>
      <c r="D12" s="7" t="inlineStr">
        <is>
          <t>The catalogue leaves memory: Spring Data JPA on PostgreSQL</t>
        </is>
      </c>
      <c r="E12" s="38" t="inlineStr">
        <is>
          <t>Demo 7</t>
        </is>
      </c>
      <c r="F12" s="8" t="inlineStr">
        <is>
          <t>JPA, Hibernate and Spring Data: who does what, and the infrastructure boundary that keeps JPA types out of the domain. The first @Entity. Flyway migrations and seed data, and why ddl-auto stays off. Localised names, descriptions and slugs per locale with fallback and slug routing. JpaRepository, derived queries, @Query (JPQL and native), paging, sorting and projections. Custom attributes as JSONB, and seeing the SQL.</t>
        </is>
      </c>
      <c r="G12" s="8" t="inlineStr">
        <is>
          <t>Lab 1 The first entity, and the boundary (20)
Lab 2 Flyway migrations and seed data (15)
Lab 3 Localised data and slug routing (20)
Lab 4 Repositories, derived queries and @Query (15)
Lab 5 Paging, projections and JSONB attributes (15)</t>
        </is>
      </c>
    </row>
  </sheetData>
  <mergeCells count="3">
    <mergeCell ref="A3:G3"/>
    <mergeCell ref="A2:G2"/>
    <mergeCell ref="A1:G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12"/>
  <sheetViews>
    <sheetView workbookViewId="0">
      <pane ySplit="5" topLeftCell="A6"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66" customWidth="1" min="6" max="6"/>
    <col width="46" customWidth="1" min="7" max="7"/>
  </cols>
  <sheetData>
    <row r="1" ht="30" customHeight="1">
      <c r="A1" s="1" t="inlineStr">
        <is>
          <t>Day 3 — Relationships, search, transactions and the safety net</t>
        </is>
      </c>
    </row>
    <row r="2" ht="34" customHeight="1">
      <c r="A2" s="2" t="inlineStr">
        <is>
          <t>The catalogue model gets relationships that perform, full-text search, facets and a composed product-listing endpoint. The order module moves to the database with carts, checkout and transactions that behave under concurrent load, and the overselling bug from Day 1 is fixed. The day closes with the minimum test suite every module keeps from here on.</t>
        </is>
      </c>
    </row>
    <row r="3" ht="28" customHeight="1">
      <c r="A3" s="36" t="inlineStr">
        <is>
          <t>JPA auditing and soft delete are demonstrated rather than typed. Testing is covered in depth in the two Testing add-on days; Demo 11 is the safety net the core needs.</t>
        </is>
      </c>
    </row>
    <row r="5" ht="24" customHeight="1">
      <c r="A5" s="3" t="inlineStr">
        <is>
          <t>Session</t>
        </is>
      </c>
      <c r="B5" s="3" t="inlineStr">
        <is>
          <t>Start</t>
        </is>
      </c>
      <c r="C5" s="3" t="inlineStr">
        <is>
          <t>End</t>
        </is>
      </c>
      <c r="D5" s="3" t="inlineStr">
        <is>
          <t>Session title</t>
        </is>
      </c>
      <c r="E5" s="3" t="inlineStr">
        <is>
          <t>Demo</t>
        </is>
      </c>
      <c r="F5" s="3" t="inlineStr">
        <is>
          <t>Topics covered</t>
        </is>
      </c>
      <c r="G5" s="3" t="inlineStr">
        <is>
          <t>Labs covered</t>
        </is>
      </c>
    </row>
    <row r="6" ht="75" customHeight="1">
      <c r="A6" s="6" t="inlineStr">
        <is>
          <t>S1</t>
        </is>
      </c>
      <c r="B6" s="37">
        <f>'Settings and notes'!$C$4</f>
        <v/>
      </c>
      <c r="C6" s="37">
        <f>B6+TIME(1,20,0)</f>
        <v/>
      </c>
      <c r="D6" s="7" t="inlineStr">
        <is>
          <t>Relationships that perform</t>
        </is>
      </c>
      <c r="E6" s="38" t="inlineStr">
        <is>
          <t>Demo 8</t>
        </is>
      </c>
      <c r="F6" s="8" t="inlineStr">
        <is>
          <t>Category tree, product, variants, images, reviews and store-to-product: @ManyToOne, @OneToMany, @ManyToMany and the owning side. The variant matrix and bundles (a product composed of products), cascades, orphanRemoval, equals and hashCode. The N+1 problem caught on the product list and fixed three ways: JOIN FETCH, @EntityGraph and DTO projections. Batch fetching, open-in-view off, LazyInitializationException explained, auditing and soft delete.</t>
        </is>
      </c>
      <c r="G6" s="8" t="inlineStr">
        <is>
          <t>Lab 1 The catalogue model and the owning side (25)
Lab 2 Variants, bundles and cascades (15)
Lab 3 Catch the N+1 (10)
Lab 4 Fix it three ways (20)</t>
        </is>
      </c>
    </row>
    <row r="7">
      <c r="A7" s="39" t="inlineStr">
        <is>
          <t>Break</t>
        </is>
      </c>
      <c r="B7" s="40">
        <f>C6</f>
        <v/>
      </c>
      <c r="C7" s="40">
        <f>B7+'Settings and notes'!$C$5/1440</f>
        <v/>
      </c>
      <c r="D7" s="39" t="n"/>
      <c r="E7" s="39" t="n"/>
      <c r="F7" s="39" t="n"/>
      <c r="G7" s="39" t="n"/>
    </row>
    <row r="8" ht="60" customHeight="1">
      <c r="A8" s="6" t="inlineStr">
        <is>
          <t>S2</t>
        </is>
      </c>
      <c r="B8" s="37">
        <f>C7</f>
        <v/>
      </c>
      <c r="C8" s="37">
        <f>B8+TIME(1,25,0)</f>
        <v/>
      </c>
      <c r="D8" s="7" t="inlineStr">
        <is>
          <t>Search, facets and the product listing</t>
        </is>
      </c>
      <c r="E8" s="38" t="inlineStr">
        <is>
          <t>Demo 9</t>
        </is>
      </c>
      <c r="F8" s="8" t="inlineStr">
        <is>
          <t>Filters from the API to SQL with Specifications; store-scoped and category-subtree queries. Full-text search with tsvector, ranking and a generated column. Facets: counts per attribute, price ranges and post-filtering semantics. One composed /api/plp response (cards, facets, total, sort) and its caching. When PostgreSQL is not enough: OpenSearch as a read model, previewed.</t>
        </is>
      </c>
      <c r="G8" s="8" t="inlineStr">
        <is>
          <t>Lab 1 Specifications, store scope and category subtrees (20)
Lab 2 Full-text search with tsvector (20)
Lab 3 Facets and post-filtering (20)
Lab 4 The composed product-listing endpoint (15)</t>
        </is>
      </c>
    </row>
    <row r="9">
      <c r="A9" s="39" t="inlineStr">
        <is>
          <t>Lunch</t>
        </is>
      </c>
      <c r="B9" s="40">
        <f>C8</f>
        <v/>
      </c>
      <c r="C9" s="40">
        <f>B9+'Settings and notes'!$C$6/1440</f>
        <v/>
      </c>
      <c r="D9" s="39" t="n"/>
      <c r="E9" s="39" t="n"/>
      <c r="F9" s="39" t="n"/>
      <c r="G9" s="39" t="n"/>
    </row>
    <row r="10" ht="105" customHeight="1">
      <c r="A10" s="6" t="inlineStr">
        <is>
          <t>S3</t>
        </is>
      </c>
      <c r="B10" s="37">
        <f>C9</f>
        <v/>
      </c>
      <c r="C10" s="37">
        <f>B10+TIME(1,40,0)</f>
        <v/>
      </c>
      <c r="D10" s="7" t="inlineStr">
        <is>
          <t>Carts, checkout and the overselling bug, fixed</t>
        </is>
      </c>
      <c r="E10" s="38" t="inlineStr">
        <is>
          <t>Demo 10</t>
        </is>
      </c>
      <c r="F10" s="8" t="inlineStr">
        <is>
          <t>The order module moves to PostgreSQL: cart and order aggregates on JPA, line items, a bundle as one unit, a Subscribe &amp; Save line. The cart write model: quantities, shipping address, pickup vs delivery, shipping methods, discount codes, the summary. Cart rules as a rule chain with the List injection from Day 1. @Transactional at the service layer: what the proxy does, readOnly, rollback rules, propagation and isolation demonstrated; the Demo 1 overselling scenario replayed, and fixed. Two tabs, one cart: optimistic locking with @Version and a retry; pessimistic locking, and when. Checkout: the order number and idempotency key, and @TransactionalEventListener for "order placed".</t>
        </is>
      </c>
      <c r="G10" s="8" t="inlineStr">
        <is>
          <t>Lab 1 Cart and order aggregates on JPA (20)
Lab 2 The cart write model and cart rules (20)
Lab 3 @Transactional, propagation and isolation: the overselling bug, fixed (25)
Lab 4 Two tabs, one cart: optimistic and pessimistic locking (15)
Lab 5 Checkout, idempotency and transactional events (10)</t>
        </is>
      </c>
    </row>
    <row r="11">
      <c r="A11" s="39" t="inlineStr">
        <is>
          <t>Break</t>
        </is>
      </c>
      <c r="B11" s="40">
        <f>C10</f>
        <v/>
      </c>
      <c r="C11" s="40">
        <f>B11+'Settings and notes'!$C$5/1440</f>
        <v/>
      </c>
      <c r="D11" s="39" t="n"/>
      <c r="E11" s="39" t="n"/>
      <c r="F11" s="39" t="n"/>
      <c r="G11" s="39" t="n"/>
    </row>
    <row r="12" ht="60" customHeight="1">
      <c r="A12" s="6" t="inlineStr">
        <is>
          <t>S4</t>
        </is>
      </c>
      <c r="B12" s="37">
        <f>C11</f>
        <v/>
      </c>
      <c r="C12" s="37">
        <f>B12+TIME(1,20,0)</f>
        <v/>
      </c>
      <c r="D12" s="7" t="inlineStr">
        <is>
          <t>The safety net: tests every module keeps</t>
        </is>
      </c>
      <c r="E12" s="38" t="inlineStr">
        <is>
          <t>Demo 11</t>
        </is>
      </c>
      <c r="F12" s="8" t="inlineStr">
        <is>
          <t>The test pyramid for a service and what belongs where. Unit tests with JUnit, Mockito and AssertJ, and test-data builders for carts and products. @WebMvcTest with MockMvcTester for a controller and the error contract. @DataJpaTest with Testcontainers and @ServiceConnection against a real PostgreSQL, and context caching so the suite stays fast.</t>
        </is>
      </c>
      <c r="G12" s="8" t="inlineStr">
        <is>
          <t>Lab 1 The pyramid for a service (10)
Lab 2 Unit tests and test-data builders (20)
Lab 3 Controller tests with @WebMvcTest (20)
Lab 4 Repository tests with Testcontainers (20)</t>
        </is>
      </c>
    </row>
  </sheetData>
  <mergeCells count="3">
    <mergeCell ref="A3:G3"/>
    <mergeCell ref="A2:G2"/>
    <mergeCell ref="A1:G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12"/>
  <sheetViews>
    <sheetView workbookViewId="0">
      <pane ySplit="5" topLeftCell="A6"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66" customWidth="1" min="6" max="6"/>
    <col width="46" customWidth="1" min="7" max="7"/>
  </cols>
  <sheetData>
    <row r="1" ht="30" customHeight="1">
      <c r="A1" s="1" t="inlineStr">
        <is>
          <t>Day 4 — From monolith to microservices</t>
        </is>
      </c>
    </row>
    <row r="2" ht="34" customHeight="1">
      <c r="A2" s="2" t="inlineStr">
        <is>
          <t>The modular monolith is split. The catalogue becomes the first service, extracted by hand with every consequence felt; the remaining modules follow as pre-built services, with orders on MySQL and customers on MongoDB, and a checkout that now spans four services. Configuration is centralised, services find each other, and one gateway exposes the /api contract. At the end of the day the Next.js storefront runs against the real system.</t>
        </is>
      </c>
    </row>
    <row r="3" ht="28" customHeight="1">
      <c r="A3" s="36" t="inlineStr">
        <is>
          <t>The extracted services of Demo 13 arrive pre-built, so the session stays on what is new: MySQL, MongoDB and the checkout across four services. Demos 14 and 15 share one session: config refresh in depth, OpenFeign and registry internals move to the Microservices in depth add-on.</t>
        </is>
      </c>
    </row>
    <row r="5" ht="24" customHeight="1">
      <c r="A5" s="3" t="inlineStr">
        <is>
          <t>Session</t>
        </is>
      </c>
      <c r="B5" s="3" t="inlineStr">
        <is>
          <t>Start</t>
        </is>
      </c>
      <c r="C5" s="3" t="inlineStr">
        <is>
          <t>End</t>
        </is>
      </c>
      <c r="D5" s="3" t="inlineStr">
        <is>
          <t>Session title</t>
        </is>
      </c>
      <c r="E5" s="3" t="inlineStr">
        <is>
          <t>Demo</t>
        </is>
      </c>
      <c r="F5" s="3" t="inlineStr">
        <is>
          <t>Topics covered</t>
        </is>
      </c>
      <c r="G5" s="3" t="inlineStr">
        <is>
          <t>Labs covered</t>
        </is>
      </c>
    </row>
    <row r="6" ht="90" customHeight="1">
      <c r="A6" s="6" t="inlineStr">
        <is>
          <t>S1</t>
        </is>
      </c>
      <c r="B6" s="37">
        <f>'Settings and notes'!$C$4</f>
        <v/>
      </c>
      <c r="C6" s="37">
        <f>B6+TIME(1,35,0)</f>
        <v/>
      </c>
      <c r="D6" s="7" t="inlineStr">
        <is>
          <t>The first cut: the catalogue becomes a service</t>
        </is>
      </c>
      <c r="E6" s="38" t="inlineStr">
        <is>
          <t>Demo 12</t>
        </is>
      </c>
      <c r="F6" s="8" t="inlineStr">
        <is>
          <t>Monolith vs modular monolith vs microservices; bounded contexts; database per service; the strangler pattern; the ShopScope target map. The catalog module becomes catalog-service with its own PostgreSQL database and the /api/products routes. The monolith calls it with RestClient (a product snapshot at checkout), then through an @HttpExchange interface. Timeouts, connection pools, a downstream ProblemDetail mapped to our own, correlation ids across processes, and running several processes locally.</t>
        </is>
      </c>
      <c r="G6" s="8" t="inlineStr">
        <is>
          <t>Lab 1 Architecture, not code (15)
Lab 2 Extract catalog-service (25)
Lab 3 RestClient, then an HTTP interface (20)
Lab 4 Timeouts and error mapping (15)
Lab 5 Correlation ids across processes (10)</t>
        </is>
      </c>
    </row>
    <row r="7">
      <c r="A7" s="39" t="inlineStr">
        <is>
          <t>Break</t>
        </is>
      </c>
      <c r="B7" s="40">
        <f>C6</f>
        <v/>
      </c>
      <c r="C7" s="40">
        <f>B7+'Settings and notes'!$C$5/1440</f>
        <v/>
      </c>
      <c r="D7" s="39" t="n"/>
      <c r="E7" s="39" t="n"/>
      <c r="F7" s="39" t="n"/>
      <c r="G7" s="39" t="n"/>
    </row>
    <row r="8" ht="120" customHeight="1">
      <c r="A8" s="6" t="inlineStr">
        <is>
          <t>S2</t>
        </is>
      </c>
      <c r="B8" s="37">
        <f>C7</f>
        <v/>
      </c>
      <c r="C8" s="37">
        <f>B8+TIME(1,40,0)</f>
        <v/>
      </c>
      <c r="D8" s="7" t="inlineStr">
        <is>
          <t>The monolith is gone: pricing, inventory, orders on MySQL, customers on MongoDB</t>
        </is>
      </c>
      <c r="E8" s="38" t="inlineStr">
        <is>
          <t>Demo 13</t>
        </is>
      </c>
      <c r="F8" s="8" t="inlineStr">
        <is>
          <t>The remaining modules extracted the same way, pre-built. pricing-service and inventory-service on PostgreSQL: the scoped price on every card and line, stock per supply channel, availability badges, the stock gate, reservations. order-service on MySQL: the same Spring Data JPA, a different dialect, Flyway for MySQL, and the Day 3 locking test re-run on InnoDB (REPEATABLE READ vs READ COMMITTED). customer-service on MongoDB: why a customer is a document with an embedded address book, Spring Data MongoDB, @Document, MongoRepository and MongoTemplate, indexes, schema evolution without migrations, @DataMongoTest with Testcontainers. Checkout across four services, and what happens when step three fails.</t>
        </is>
      </c>
      <c r="G8" s="8" t="inlineStr">
        <is>
          <t>Lab 1 Pricing and inventory as services (15)
Lab 2 order-service on MySQL: dialect, Flyway, InnoDB locking (25)
Lab 3 customer-service on MongoDB (30)
Lab 4 Checkout across four services, and the failure (20)</t>
        </is>
      </c>
    </row>
    <row r="9">
      <c r="A9" s="39" t="inlineStr">
        <is>
          <t>Lunch</t>
        </is>
      </c>
      <c r="B9" s="40">
        <f>C8</f>
        <v/>
      </c>
      <c r="C9" s="40">
        <f>B9+'Settings and notes'!$C$6/1440</f>
        <v/>
      </c>
      <c r="D9" s="39" t="n"/>
      <c r="E9" s="39" t="n"/>
      <c r="F9" s="39" t="n"/>
      <c r="G9" s="39" t="n"/>
    </row>
    <row r="10" ht="60" customHeight="1">
      <c r="A10" s="6" t="inlineStr">
        <is>
          <t>S3</t>
        </is>
      </c>
      <c r="B10" s="37">
        <f>C9</f>
        <v/>
      </c>
      <c r="C10" s="37">
        <f>B10+TIME(1,25,0)</f>
        <v/>
      </c>
      <c r="D10" s="7" t="inlineStr">
        <is>
          <t>Every service reads its configuration from one place, and services find each other</t>
        </is>
      </c>
      <c r="E10" s="38" t="inlineStr">
        <is>
          <t>Demos 14–15</t>
        </is>
      </c>
      <c r="F10" s="8" t="inlineStr">
        <is>
          <t>Spring Cloud Config Server backed by a Git repository: one file per service per profile, spring.config.import, fail-fast and retry, encrypted secrets and provider keys that never enter Git, @RefreshScope and feature flags. A Eureka discovery server, registrations, and client-side load balancing with a @LoadBalanced RestClient across two instances.</t>
        </is>
      </c>
      <c r="G10" s="8" t="inlineStr">
        <is>
          <t>Lab 1 Config Server from Git (20)
Lab 2 The client side, and secrets (15)
Lab 3 Refresh at runtime and feature flags (15)
Lab 4 Eureka and a load-balanced RestClient (25)</t>
        </is>
      </c>
    </row>
    <row r="11">
      <c r="A11" s="39" t="inlineStr">
        <is>
          <t>Break</t>
        </is>
      </c>
      <c r="B11" s="40">
        <f>C10</f>
        <v/>
      </c>
      <c r="C11" s="40">
        <f>B11+'Settings and notes'!$C$5/1440</f>
        <v/>
      </c>
      <c r="D11" s="39" t="n"/>
      <c r="E11" s="39" t="n"/>
      <c r="F11" s="39" t="n"/>
      <c r="G11" s="39" t="n"/>
    </row>
    <row r="12" ht="60" customHeight="1">
      <c r="A12" s="6" t="inlineStr">
        <is>
          <t>S4</t>
        </is>
      </c>
      <c r="B12" s="37">
        <f>C11</f>
        <v/>
      </c>
      <c r="C12" s="37">
        <f>B12+TIME(1,25,0)</f>
        <v/>
      </c>
      <c r="D12" s="7" t="inlineStr">
        <is>
          <t>One front door: the API gateway, and the storefront arrives</t>
        </is>
      </c>
      <c r="E12" s="38" t="inlineStr">
        <is>
          <t>Demo 16</t>
        </is>
      </c>
      <c r="F12" s="8" t="inlineStr">
        <is>
          <t>Spring Cloud Gateway: the /api contract as routes, predicates and lb:// URIs. Filters: path rewriting, request ids, the shopper-session cookie, a custom global filter. CORS once at the edge, rate limiting with Redis, and one OpenAPI page aggregated for every service. The finished Next.js storefront runs against the gateway and browses the real catalogue. The problem register of Day 1 is empty.</t>
        </is>
      </c>
      <c r="G12" s="8" t="inlineStr">
        <is>
          <t>Lab 1 Routes through the gateway (25)
Lab 2 Filters and the shopper session (20)
Lab 3 CORS and rate limiting (15)
Lab 4 The storefront arrives (15)</t>
        </is>
      </c>
    </row>
  </sheetData>
  <mergeCells count="3">
    <mergeCell ref="A3:G3"/>
    <mergeCell ref="A2:G2"/>
    <mergeCell ref="A1:G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2"/>
  <sheetViews>
    <sheetView workbookViewId="0">
      <pane ySplit="5" topLeftCell="A6"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66" customWidth="1" min="6" max="6"/>
    <col width="46" customWidth="1" min="7" max="7"/>
  </cols>
  <sheetData>
    <row r="1" ht="30" customHeight="1">
      <c r="A1" s="1" t="inlineStr">
        <is>
          <t>Day 5 — Security: Spring Security, JWT, securing the system, and Keycloak</t>
        </is>
      </c>
    </row>
    <row r="2" ht="34" customHeight="1">
      <c r="A2" s="2" t="inlineStr">
        <is>
          <t>From the security filter chain to an identity service that issues JWTs, resource servers that validate them, the guest-to-customer session boundary, ownership rules, service-to-service credentials, and finally handing login over to Keycloak with OAuth2 and OpenID Connect.</t>
        </is>
      </c>
    </row>
    <row r="3" ht="28" customHeight="1">
      <c r="A3" s="36" t="inlineStr">
        <is>
          <t>Method security on the back-office endpoints and the OWASP API Security Top 10 review are demonstrated rather than typed.</t>
        </is>
      </c>
    </row>
    <row r="5" ht="24" customHeight="1">
      <c r="A5" s="3" t="inlineStr">
        <is>
          <t>Session</t>
        </is>
      </c>
      <c r="B5" s="3" t="inlineStr">
        <is>
          <t>Start</t>
        </is>
      </c>
      <c r="C5" s="3" t="inlineStr">
        <is>
          <t>End</t>
        </is>
      </c>
      <c r="D5" s="3" t="inlineStr">
        <is>
          <t>Session title</t>
        </is>
      </c>
      <c r="E5" s="3" t="inlineStr">
        <is>
          <t>Demo</t>
        </is>
      </c>
      <c r="F5" s="3" t="inlineStr">
        <is>
          <t>Topics covered</t>
        </is>
      </c>
      <c r="G5" s="3" t="inlineStr">
        <is>
          <t>Labs covered</t>
        </is>
      </c>
    </row>
    <row r="6" ht="75" customHeight="1">
      <c r="A6" s="6" t="inlineStr">
        <is>
          <t>S1</t>
        </is>
      </c>
      <c r="B6" s="37">
        <f>'Settings and notes'!$C$4</f>
        <v/>
      </c>
      <c r="C6" s="37">
        <f>B6+TIME(1,25,0)</f>
        <v/>
      </c>
      <c r="D6" s="7" t="inlineStr">
        <is>
          <t>Who are you? The identity service and Spring Security fundamentals</t>
        </is>
      </c>
      <c r="E6" s="38" t="inlineStr">
        <is>
          <t>Demo 17</t>
        </is>
      </c>
      <c r="F6" s="8" t="inlineStr">
        <is>
          <t>The filter chain on every request and what the default does. SecurityFilterChain as a bean; authentication vs authorisation. Users in PostgreSQL with UserDetailsService, BCrypt and DelegatingPasswordEncoder. Registration, e-mail uniqueness, password rules, the password-reset token and the e-mail-verification token. CSRF (when it matters, when a stateless API turns it off), CORS and security headers.</t>
        </is>
      </c>
      <c r="G6" s="8" t="inlineStr">
        <is>
          <t>Lab 1 What the default does (10)
Lab 2 Your own SecurityFilterChain (15)
Lab 3 Users in the database (25)
Lab 4 Registration, reset and verification tokens (20)
Lab 5 CSRF, CORS and headers (10)</t>
        </is>
      </c>
    </row>
    <row r="7">
      <c r="A7" s="39" t="inlineStr">
        <is>
          <t>Break</t>
        </is>
      </c>
      <c r="B7" s="40">
        <f>C6</f>
        <v/>
      </c>
      <c r="C7" s="40">
        <f>B7+'Settings and notes'!$C$5/1440</f>
        <v/>
      </c>
      <c r="D7" s="39" t="n"/>
      <c r="E7" s="39" t="n"/>
      <c r="F7" s="39" t="n"/>
      <c r="G7" s="39" t="n"/>
    </row>
    <row r="8" ht="90" customHeight="1">
      <c r="A8" s="6" t="inlineStr">
        <is>
          <t>S2</t>
        </is>
      </c>
      <c r="B8" s="37">
        <f>C7</f>
        <v/>
      </c>
      <c r="C8" s="37">
        <f>B8+TIME(1,40,0)</f>
        <v/>
      </c>
      <c r="D8" s="7" t="inlineStr">
        <is>
          <t>Tokens everywhere: JWT, resource servers and the session boundary</t>
        </is>
      </c>
      <c r="E8" s="38" t="inlineStr">
        <is>
          <t>Demo 18</t>
        </is>
      </c>
      <c r="F8" s="8" t="inlineStr">
        <is>
          <t>A JWT decoded: header, claims, signature; HMAC vs RSA. Login that issues an RS256 token with JwtEncoder and a JWKS endpoint. The other services as OAuth2 resource servers validating via the JWKS URI. Roles and scopes from claims to authorities. Refresh tokens with rotation and reuse detection, stored hashed. The session boundary: the anonymous cart merged into the customer's cart on login, with a merge mode, and sign-out. Logout, revocation and the bad-token checklist.</t>
        </is>
      </c>
      <c r="G8" s="8" t="inlineStr">
        <is>
          <t>Lab 1 Decode a JWT (10)
Lab 2 A login that issues RS256 tokens, and JWKS (25)
Lab 3 Services as resource servers (20)
Lab 4 Roles from claims (10)
Lab 5 Refresh tokens with rotation (15)
Lab 6 Guest to customer: the cart merge (15)</t>
        </is>
      </c>
    </row>
    <row r="9">
      <c r="A9" s="39" t="inlineStr">
        <is>
          <t>Lunch</t>
        </is>
      </c>
      <c r="B9" s="40">
        <f>C8</f>
        <v/>
      </c>
      <c r="C9" s="40">
        <f>B9+'Settings and notes'!$C$6/1440</f>
        <v/>
      </c>
      <c r="D9" s="39" t="n"/>
      <c r="E9" s="39" t="n"/>
      <c r="F9" s="39" t="n"/>
      <c r="G9" s="39" t="n"/>
    </row>
    <row r="10" ht="60" customHeight="1">
      <c r="A10" s="6" t="inlineStr">
        <is>
          <t>S3</t>
        </is>
      </c>
      <c r="B10" s="37">
        <f>C9</f>
        <v/>
      </c>
      <c r="C10" s="37">
        <f>B10+TIME(1,25,0)</f>
        <v/>
      </c>
      <c r="D10" s="7" t="inlineStr">
        <is>
          <t>Securing the calls between services</t>
        </is>
      </c>
      <c r="E10" s="38" t="inlineStr">
        <is>
          <t>Demo 19</t>
        </is>
      </c>
      <c r="F10" s="8" t="inlineStr">
        <is>
          <t>JWT validation at the gateway and token relay to services. Ownership: customers see only their own orders, addresses and shopping lists. Service-to-service calls with client credentials, and never forwarding a user token blindly. Security tests with @WithMockUser and the jwt() post-processor. The OWASP API Security Top 10 checked against ShopScope.</t>
        </is>
      </c>
      <c r="G10" s="8" t="inlineStr">
        <is>
          <t>Lab 1 JWT at the gateway, and token relay (25)
Lab 2 Ownership: only your own orders (20)
Lab 3 Client credentials between services (20)
Lab 4 Security tests (15)</t>
        </is>
      </c>
    </row>
    <row r="11">
      <c r="A11" s="39" t="inlineStr">
        <is>
          <t>Break</t>
        </is>
      </c>
      <c r="B11" s="40">
        <f>C10</f>
        <v/>
      </c>
      <c r="C11" s="40">
        <f>B11+'Settings and notes'!$C$5/1440</f>
        <v/>
      </c>
      <c r="D11" s="39" t="n"/>
      <c r="E11" s="39" t="n"/>
      <c r="F11" s="39" t="n"/>
      <c r="G11" s="39" t="n"/>
    </row>
    <row r="12" ht="75" customHeight="1">
      <c r="A12" s="6" t="inlineStr">
        <is>
          <t>S4</t>
        </is>
      </c>
      <c r="B12" s="37">
        <f>C11</f>
        <v/>
      </c>
      <c r="C12" s="37">
        <f>B12+TIME(1,30,0)</f>
        <v/>
      </c>
      <c r="D12" s="7" t="inlineStr">
        <is>
          <t>Login leaves the building: Keycloak, OAuth2 and OpenID Connect</t>
        </is>
      </c>
      <c r="E12" s="38" t="inlineStr">
        <is>
          <t>Demo 20</t>
        </is>
      </c>
      <c r="F12" s="8" t="inlineStr">
        <is>
          <t>Why teams stop running their own login. OAuth2 roles and flows, and OIDC. Keycloak in a container: realm, clients and roles imported from JSON. Swap the issuer: the services trust Keycloak and the identity service retires. The storefront signs in with authorization code + PKCE through the gateway as a backend-for-frontend (oauth2Login, TokenRelay, an httpOnly cookie), compared with a public SPA client. Client credentials for back-office jobs and mapping realm roles.</t>
        </is>
      </c>
      <c r="G12" s="8" t="inlineStr">
        <is>
          <t>Lab 1 OAuth2 flows and OIDC (10)
Lab 2 Keycloak in a container (20)
Lab 3 Swap the issuer (20)
Lab 4 The storefront signs in with PKCE (25)
Lab 5 Client credentials and realm roles (10)</t>
        </is>
      </c>
    </row>
  </sheetData>
  <mergeCells count="3">
    <mergeCell ref="A3:G3"/>
    <mergeCell ref="A2:G2"/>
    <mergeCell ref="A1:G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184"/>
  <sheetViews>
    <sheetView workbookViewId="0">
      <pane ySplit="3" topLeftCell="A4" activePane="bottomLeft" state="frozen"/>
      <selection pane="bottomLeft" activeCell="A1" sqref="A1"/>
    </sheetView>
  </sheetViews>
  <sheetFormatPr baseColWidth="8" defaultRowHeight="15"/>
  <cols>
    <col width="9" customWidth="1" min="1" max="1"/>
    <col width="7.5" customWidth="1" min="2" max="2"/>
    <col width="7.5" customWidth="1" min="3" max="3"/>
    <col width="34" customWidth="1" min="4" max="4"/>
    <col width="17" customWidth="1" min="5" max="5"/>
    <col width="66" customWidth="1" min="6" max="6"/>
    <col width="46" customWidth="1" min="7" max="7"/>
  </cols>
  <sheetData>
    <row r="1" ht="30" customHeight="1">
      <c r="A1" s="1" t="inlineStr">
        <is>
          <t>Add-on days · each one adds exactly one day</t>
        </is>
      </c>
    </row>
    <row r="2" ht="34" customHeight="1">
      <c r="A2" s="2" t="inlineStr">
        <is>
          <t>Choose any add-ons on the "Build your programme" sheet. Each is a complete training day with the same rhythm as the core: two short breaks and a lunch.</t>
        </is>
      </c>
    </row>
    <row r="4" ht="20" customHeight="1">
      <c r="A4" s="10" t="inlineStr">
        <is>
          <t>Pre-course · Modern Java for Spring developers (pre-course bridge)</t>
        </is>
      </c>
    </row>
    <row r="5">
      <c r="A5" s="41" t="inlineStr">
        <is>
          <t>When</t>
        </is>
      </c>
      <c r="B5" s="42" t="inlineStr">
        <is>
          <t>Before Day 1</t>
        </is>
      </c>
    </row>
    <row r="6">
      <c r="A6" s="41" t="inlineStr">
        <is>
          <t>Requires</t>
        </is>
      </c>
      <c r="B6" s="42" t="inlineStr">
        <is>
          <t>Nothing. Recommended for developers coming from Java 8 or from another language.</t>
        </is>
      </c>
    </row>
    <row r="7">
      <c r="A7" s="41" t="inlineStr">
        <is>
          <t>Why add it</t>
        </is>
      </c>
      <c r="B7" s="42" t="inlineStr">
        <is>
          <t>Spring Boot 4 code is written in modern Java: records, sealed types, pattern matching, lambdas and streams appear in every demo. This day builds the plain-Java pricing domain that Day 1 wires into Spring, so nobody learns the language and the framework at the same time.</t>
        </is>
      </c>
    </row>
    <row r="8" ht="24" customHeight="1">
      <c r="A8" s="3" t="inlineStr">
        <is>
          <t>Session</t>
        </is>
      </c>
      <c r="B8" s="3" t="inlineStr">
        <is>
          <t>Start</t>
        </is>
      </c>
      <c r="C8" s="3" t="inlineStr">
        <is>
          <t>End</t>
        </is>
      </c>
      <c r="D8" s="3" t="inlineStr">
        <is>
          <t>Session title</t>
        </is>
      </c>
      <c r="E8" s="3" t="inlineStr">
        <is>
          <t>Demo</t>
        </is>
      </c>
      <c r="F8" s="3" t="inlineStr">
        <is>
          <t>Topics covered</t>
        </is>
      </c>
      <c r="G8" s="3" t="inlineStr">
        <is>
          <t>Labs covered</t>
        </is>
      </c>
    </row>
    <row r="9" ht="60" customHeight="1">
      <c r="A9" s="6" t="inlineStr">
        <is>
          <t>S1</t>
        </is>
      </c>
      <c r="B9" s="37">
        <f>'Settings and notes'!$C$4</f>
        <v/>
      </c>
      <c r="C9" s="37">
        <f>B9+TIME(1,30,0)</f>
        <v/>
      </c>
      <c r="D9" s="7" t="inlineStr">
        <is>
          <t>The modern Java language</t>
        </is>
      </c>
      <c r="E9" s="38" t="inlineStr">
        <is>
          <t>Demo 0 (part 1)</t>
        </is>
      </c>
      <c r="F9" s="8" t="inlineStr">
        <is>
          <t>Records, immutability and Money as a value object; var, text blocks and switch expressions; sealed interfaces and pattern matching for price rules and price-selection precedence; Optional, exceptions and the rules of a clean API.</t>
        </is>
      </c>
      <c r="G9" s="8" t="inlineStr">
        <is>
          <t>Lab 1 Records, immutability and Money (25)
Lab 2 Sealed interfaces and pattern matching for price rules (25)
Lab 3 Switch expressions, text blocks and var (15)
Lab 4 Optional, exceptions and a clean API (15)</t>
        </is>
      </c>
    </row>
    <row r="10">
      <c r="A10" s="39" t="inlineStr">
        <is>
          <t>Break</t>
        </is>
      </c>
      <c r="B10" s="40">
        <f>C9</f>
        <v/>
      </c>
      <c r="C10" s="40">
        <f>B10+'Settings and notes'!$C$5/1440</f>
        <v/>
      </c>
      <c r="D10" s="39" t="n"/>
      <c r="E10" s="39" t="n"/>
      <c r="F10" s="39" t="n"/>
      <c r="G10" s="39" t="n"/>
    </row>
    <row r="11" ht="60" customHeight="1">
      <c r="A11" s="6" t="inlineStr">
        <is>
          <t>S2</t>
        </is>
      </c>
      <c r="B11" s="37">
        <f>C10</f>
        <v/>
      </c>
      <c r="C11" s="37">
        <f>B11+TIME(1,25,0)</f>
        <v/>
      </c>
      <c r="D11" s="7" t="inlineStr">
        <is>
          <t>Lambdas, streams and collections</t>
        </is>
      </c>
      <c r="E11" s="38" t="inlineStr">
        <is>
          <t>Demo 0 (part 2)</t>
        </is>
      </c>
      <c r="F11" s="8" t="inlineStr">
        <is>
          <t>Functional interfaces and method references, the stream toolbox (map, filter, collect, groupingBy) over a basket, Optional used properly, immutable collections, and executors and futures (with the one line that becomes virtual threads on Java 21+).</t>
        </is>
      </c>
      <c r="G11" s="8" t="inlineStr">
        <is>
          <t>Lab 5 Lambdas and method references (20)
Lab 6 Streams and collectors over a basket (30)
Lab 7 Reports with groupingBy (15)
Lab 8 Executors, futures and virtual threads (10)</t>
        </is>
      </c>
    </row>
    <row r="12">
      <c r="A12" s="39" t="inlineStr">
        <is>
          <t>Lunch</t>
        </is>
      </c>
      <c r="B12" s="40">
        <f>C11</f>
        <v/>
      </c>
      <c r="C12" s="40">
        <f>B12+'Settings and notes'!$C$6/1440</f>
        <v/>
      </c>
      <c r="D12" s="39" t="n"/>
      <c r="E12" s="39" t="n"/>
      <c r="F12" s="39" t="n"/>
      <c r="G12" s="39" t="n"/>
    </row>
    <row r="13" ht="60" customHeight="1">
      <c r="A13" s="6" t="inlineStr">
        <is>
          <t>S3</t>
        </is>
      </c>
      <c r="B13" s="37">
        <f>C12</f>
        <v/>
      </c>
      <c r="C13" s="37">
        <f>B13+TIME(1,25,0)</f>
        <v/>
      </c>
      <c r="D13" s="7" t="inlineStr">
        <is>
          <t>Maven, JUnit 5 and the project</t>
        </is>
      </c>
      <c r="E13" s="38" t="inlineStr">
        <is>
          <t>Demo 0 (part 3)</t>
        </is>
      </c>
      <c r="F13" s="8" t="inlineStr">
        <is>
          <t>The Maven lifecycle, dependencies and BOMs, multi-module builds and the Maven wrapper. JUnit 5 and AssertJ basics, Mockito basics, and an IDE set up for Spring with the Day 1 starter.</t>
        </is>
      </c>
      <c r="G13" s="8" t="inlineStr">
        <is>
          <t>Lab 9 Maven: lifecycle, dependencies, the wrapper (25)
Lab 10 JUnit 5 and AssertJ: the first tests (25)
Lab 11 Mocks with Mockito (15)
Lab 12 The Day 1 starter project (10)</t>
        </is>
      </c>
    </row>
    <row r="14">
      <c r="A14" s="39" t="inlineStr">
        <is>
          <t>Break</t>
        </is>
      </c>
      <c r="B14" s="40">
        <f>C13</f>
        <v/>
      </c>
      <c r="C14" s="40">
        <f>B14+'Settings and notes'!$C$5/1440</f>
        <v/>
      </c>
      <c r="D14" s="39" t="n"/>
      <c r="E14" s="39" t="n"/>
      <c r="F14" s="39" t="n"/>
      <c r="G14" s="39" t="n"/>
    </row>
    <row r="15" ht="60" customHeight="1">
      <c r="A15" s="6" t="inlineStr">
        <is>
          <t>S4</t>
        </is>
      </c>
      <c r="B15" s="37">
        <f>C14</f>
        <v/>
      </c>
      <c r="C15" s="37">
        <f>B15+TIME(1,20,0)</f>
        <v/>
      </c>
      <c r="D15" s="7" t="inlineStr">
        <is>
          <t>SQL, JDBC and HTTP essentials</t>
        </is>
      </c>
      <c r="E15" s="38" t="inlineStr">
        <is>
          <t>Demo 0 (part 4)</t>
        </is>
      </c>
      <c r="F15" s="8" t="inlineStr">
        <is>
          <t>An SQL refresher (joins, indexes) on the ShopScope schema, plain JDBC once so the ORM makes sense on Day 2, a first look at a document in MongoDB, and HTTP essentials (methods, status codes, headers, JSON) with curl.</t>
        </is>
      </c>
      <c r="G15" s="8" t="inlineStr">
        <is>
          <t>Lab 13 SQL on the ShopScope schema (25)
Lab 14 Plain JDBC, once (20)
Lab 15 A document in MongoDB (10)
Lab 16 HTTP with curl (15)</t>
        </is>
      </c>
    </row>
    <row r="17" ht="20" customHeight="1">
      <c r="A17" s="10" t="inlineStr">
        <is>
          <t>Add-on 1 · Microservices in depth: discovery, resilience and observability</t>
        </is>
      </c>
    </row>
    <row r="18">
      <c r="A18" s="41" t="inlineStr">
        <is>
          <t>When</t>
        </is>
      </c>
      <c r="B18" s="42" t="inlineStr">
        <is>
          <t>After the core</t>
        </is>
      </c>
    </row>
    <row r="19">
      <c r="A19" s="41" t="inlineStr">
        <is>
          <t>Requires</t>
        </is>
      </c>
      <c r="B19" s="42" t="inlineStr">
        <is>
          <t>Core Day 4.</t>
        </is>
      </c>
    </row>
    <row r="20">
      <c r="A20" s="41" t="inlineStr">
        <is>
          <t>Why add it</t>
        </is>
      </c>
      <c r="B20" s="42" t="inlineStr">
        <is>
          <t>For teams running microservices in production: failures are normal, and the patterns that contain them are learned on ShopScope's own services before they are applied to partners.</t>
        </is>
      </c>
    </row>
    <row r="21" ht="24" customHeight="1">
      <c r="A21" s="3" t="inlineStr">
        <is>
          <t>Session</t>
        </is>
      </c>
      <c r="B21" s="3" t="inlineStr">
        <is>
          <t>Start</t>
        </is>
      </c>
      <c r="C21" s="3" t="inlineStr">
        <is>
          <t>End</t>
        </is>
      </c>
      <c r="D21" s="3" t="inlineStr">
        <is>
          <t>Session title</t>
        </is>
      </c>
      <c r="E21" s="3" t="inlineStr">
        <is>
          <t>Demo</t>
        </is>
      </c>
      <c r="F21" s="3" t="inlineStr">
        <is>
          <t>Topics covered</t>
        </is>
      </c>
      <c r="G21" s="3" t="inlineStr">
        <is>
          <t>Labs covered</t>
        </is>
      </c>
    </row>
    <row r="22" ht="60" customHeight="1">
      <c r="A22" s="6" t="inlineStr">
        <is>
          <t>S1</t>
        </is>
      </c>
      <c r="B22" s="37">
        <f>'Settings and notes'!$C$4</f>
        <v/>
      </c>
      <c r="C22" s="37">
        <f>B22+TIME(1,20,0)</f>
        <v/>
      </c>
      <c r="D22" s="7" t="inlineStr">
        <is>
          <t>Service discovery in depth</t>
        </is>
      </c>
      <c r="E22" s="38" t="inlineStr">
        <is>
          <t>Demo 15</t>
        </is>
      </c>
      <c r="F22" s="8" t="inlineStr">
        <is>
          <t>OpenFeign compared with HTTP interfaces, so you can read either. Health, heartbeats, self-preservation and what "down" means to a registry. Two instances behind client-side load balancing, and why Kubernetes makes Eureka optional.</t>
        </is>
      </c>
      <c r="G22" s="8" t="inlineStr">
        <is>
          <t>Lab 1 OpenFeign vs HTTP interfaces (20)
Lab 2 Health, heartbeats and self-preservation (20)
Lab 3 Two instances, load-balanced (20)
Lab 4 Discovery vs platform DNS (10)</t>
        </is>
      </c>
    </row>
    <row r="23">
      <c r="A23" s="39" t="inlineStr">
        <is>
          <t>Break</t>
        </is>
      </c>
      <c r="B23" s="40">
        <f>C22</f>
        <v/>
      </c>
      <c r="C23" s="40">
        <f>B23+'Settings and notes'!$C$5/1440</f>
        <v/>
      </c>
      <c r="D23" s="39" t="n"/>
      <c r="E23" s="39" t="n"/>
      <c r="F23" s="39" t="n"/>
      <c r="G23" s="39" t="n"/>
    </row>
    <row r="24" ht="75" customHeight="1">
      <c r="A24" s="6" t="inlineStr">
        <is>
          <t>S2</t>
        </is>
      </c>
      <c r="B24" s="37">
        <f>C23</f>
        <v/>
      </c>
      <c r="C24" s="37">
        <f>B24+TIME(1,35,0)</f>
        <v/>
      </c>
      <c r="D24" s="7" t="inlineStr">
        <is>
          <t>When inventory is slow: resilience patterns</t>
        </is>
      </c>
      <c r="E24" s="38" t="inlineStr">
        <is>
          <t>Demo 21</t>
        </is>
      </c>
      <c r="F24" s="8" t="inlineStr">
        <is>
          <t>Latency and failures injected into the inventory service on purpose. Timeouts everywhere, and why they come first. Retries with backoff and jitter, and idempotency keys so a retried POST is safe. Circuit breaker and fallbacks with Resilience4j, bulkheads and rate limiters, and Spring Framework 7's built-in @Retryable and @ConcurrencyLimit compared.</t>
        </is>
      </c>
      <c r="G24" s="8" t="inlineStr">
        <is>
          <t>Lab 1 Break it on purpose (10)
Lab 2 Timeouts first (15)
Lab 3 Retries, backoff and idempotency keys (20)
Lab 4 Circuit breaker and fallbacks (25)
Lab 5 Bulkheads, rate limiters and @Retryable (15)</t>
        </is>
      </c>
    </row>
    <row r="25">
      <c r="A25" s="39" t="inlineStr">
        <is>
          <t>Lunch</t>
        </is>
      </c>
      <c r="B25" s="40">
        <f>C24</f>
        <v/>
      </c>
      <c r="C25" s="40">
        <f>B25+'Settings and notes'!$C$6/1440</f>
        <v/>
      </c>
      <c r="D25" s="39" t="n"/>
      <c r="E25" s="39" t="n"/>
      <c r="F25" s="39" t="n"/>
      <c r="G25" s="39" t="n"/>
    </row>
    <row r="26" ht="60" customHeight="1">
      <c r="A26" s="6" t="inlineStr">
        <is>
          <t>S3</t>
        </is>
      </c>
      <c r="B26" s="37">
        <f>C25</f>
        <v/>
      </c>
      <c r="C26" s="37">
        <f>B26+TIME(1,20,0)</f>
        <v/>
      </c>
      <c r="D26" s="7" t="inlineStr">
        <is>
          <t>One checkout, seen across five services: health, metrics and alerts</t>
        </is>
      </c>
      <c r="E26" s="38" t="inlineStr">
        <is>
          <t>Demo 22 (part 1)</t>
        </is>
      </c>
      <c r="F26" s="8" t="inlineStr">
        <is>
          <t>Actuator health groups, liveness and readiness. Micrometer metrics to Prometheus and a Grafana dashboard per service. Business metrics: orders per minute, payment failures. Alerts and SLOs: what to page on, what to ignore.</t>
        </is>
      </c>
      <c r="G26" s="8" t="inlineStr">
        <is>
          <t>Lab 1 Health groups, liveness and readiness (15)
Lab 2 Micrometer, Prometheus and Grafana (25)
Lab 3 Business metrics (15)
Lab 4 Alerts and SLOs (15)</t>
        </is>
      </c>
    </row>
    <row r="27">
      <c r="A27" s="39" t="inlineStr">
        <is>
          <t>Break</t>
        </is>
      </c>
      <c r="B27" s="40">
        <f>C26</f>
        <v/>
      </c>
      <c r="C27" s="40">
        <f>B27+'Settings and notes'!$C$5/1440</f>
        <v/>
      </c>
      <c r="D27" s="39" t="n"/>
      <c r="E27" s="39" t="n"/>
      <c r="F27" s="39" t="n"/>
      <c r="G27" s="39" t="n"/>
    </row>
    <row r="28" ht="45" customHeight="1">
      <c r="A28" s="6" t="inlineStr">
        <is>
          <t>S4</t>
        </is>
      </c>
      <c r="B28" s="37">
        <f>C27</f>
        <v/>
      </c>
      <c r="C28" s="37">
        <f>B28+TIME(1,15,0)</f>
        <v/>
      </c>
      <c r="D28" s="7" t="inlineStr">
        <is>
          <t>Tracing, logs and graceful degradation</t>
        </is>
      </c>
      <c r="E28" s="38" t="inlineStr">
        <is>
          <t>Demo 22 (part 2)</t>
        </is>
      </c>
      <c r="F28" s="8" t="inlineStr">
        <is>
          <t>Distributed tracing with OpenTelemetry: one checkout followed across five services in Tempo. Structured logs to Loki with the trace id in every line. Graceful degradation: the product listing without stock badges, checkout readiness, and what the customer sees.</t>
        </is>
      </c>
      <c r="G28" s="8" t="inlineStr">
        <is>
          <t>Lab 5 One checkout across five services (30)
Lab 6 Logs with the trace id (20)
Lab 7 Graceful degradation in checkout (15)</t>
        </is>
      </c>
    </row>
    <row r="30" ht="20" customHeight="1">
      <c r="A30" s="10" t="inlineStr">
        <is>
          <t>Add-on 2 · Integrations: Razorpay payments, Resend e-mail and batch feeds</t>
        </is>
      </c>
    </row>
    <row r="31">
      <c r="A31" s="41" t="inlineStr">
        <is>
          <t>When</t>
        </is>
      </c>
      <c r="B31" s="42" t="inlineStr">
        <is>
          <t>After the core</t>
        </is>
      </c>
    </row>
    <row r="32">
      <c r="A32" s="41" t="inlineStr">
        <is>
          <t>Requires</t>
        </is>
      </c>
      <c r="B32" s="42" t="inlineStr">
        <is>
          <t>Core Day 5. The Microservices in depth day is recommended first.</t>
        </is>
      </c>
    </row>
    <row r="33">
      <c r="A33" s="41" t="inlineStr">
        <is>
          <t>Why add it</t>
        </is>
      </c>
      <c r="B33" s="42" t="inlineStr">
        <is>
          <t>This is the enterprise edge: money, e-mail and partners are the least reliable dependencies a system has, and the day shows how to integrate them without trusting them.</t>
        </is>
      </c>
    </row>
    <row r="34" ht="24" customHeight="1">
      <c r="A34" s="3" t="inlineStr">
        <is>
          <t>Session</t>
        </is>
      </c>
      <c r="B34" s="3" t="inlineStr">
        <is>
          <t>Start</t>
        </is>
      </c>
      <c r="C34" s="3" t="inlineStr">
        <is>
          <t>End</t>
        </is>
      </c>
      <c r="D34" s="3" t="inlineStr">
        <is>
          <t>Session title</t>
        </is>
      </c>
      <c r="E34" s="3" t="inlineStr">
        <is>
          <t>Demo</t>
        </is>
      </c>
      <c r="F34" s="3" t="inlineStr">
        <is>
          <t>Topics covered</t>
        </is>
      </c>
      <c r="G34" s="3" t="inlineStr">
        <is>
          <t>Labs covered</t>
        </is>
      </c>
    </row>
    <row r="35" ht="45" customHeight="1">
      <c r="A35" s="6" t="inlineStr">
        <is>
          <t>S1</t>
        </is>
      </c>
      <c r="B35" s="37">
        <f>'Settings and notes'!$C$4</f>
        <v/>
      </c>
      <c r="C35" s="37">
        <f>B35+TIME(1,10,0)</f>
        <v/>
      </c>
      <c r="D35" s="7" t="inlineStr">
        <is>
          <t>Taking the money: payments with Razorpay</t>
        </is>
      </c>
      <c r="E35" s="38" t="inlineStr">
        <is>
          <t>Demo 23 (part 1)</t>
        </is>
      </c>
      <c r="F35" s="8" t="inlineStr">
        <is>
          <t>The payment port and the Razorpay adapter: the checkout session creates a Razorpay Order (amount in paise, receipt = our order number). Idempotency keys on every money-moving call. Verifying the checkout result: the HMAC-SHA256 signature over order_id|payment_id. The ledger lives in MySQL.</t>
        </is>
      </c>
      <c r="G35" s="8" t="inlineStr">
        <is>
          <t>Lab 1 The payment port and the Razorpay adapter (25)
Lab 2 Idempotency keys (15)
Lab 3 Verifying the signature (20)</t>
        </is>
      </c>
    </row>
    <row r="36">
      <c r="A36" s="39" t="inlineStr">
        <is>
          <t>Break</t>
        </is>
      </c>
      <c r="B36" s="40">
        <f>C35</f>
        <v/>
      </c>
      <c r="C36" s="40">
        <f>B36+'Settings and notes'!$C$5/1440</f>
        <v/>
      </c>
      <c r="D36" s="39" t="n"/>
      <c r="E36" s="39" t="n"/>
      <c r="F36" s="39" t="n"/>
      <c r="G36" s="39" t="n"/>
    </row>
    <row r="37" ht="60" customHeight="1">
      <c r="A37" s="6" t="inlineStr">
        <is>
          <t>S2</t>
        </is>
      </c>
      <c r="B37" s="37">
        <f>C36</f>
        <v/>
      </c>
      <c r="C37" s="37">
        <f>B37+TIME(1,15,0)</f>
        <v/>
      </c>
      <c r="D37" s="7" t="inlineStr">
        <is>
          <t>Webhooks, the ledger and order states</t>
        </is>
      </c>
      <c r="E37" s="38" t="inlineStr">
        <is>
          <t>Demo 23 (part 2)</t>
        </is>
      </c>
      <c r="F37" s="8" t="inlineStr">
        <is>
          <t>Webhooks in: X-Razorpay-Signature verification, replay protection and out-of-order delivery for payment.authorized, payment.captured, payment.failed and refund.processed, replayed locally from fixtures. The payment ledger, capture at fulfilment, refunds, and the guarded order state machine. WireMock as the Razorpay sandbox in tests.</t>
        </is>
      </c>
      <c r="G37" s="8" t="inlineStr">
        <is>
          <t>Lab 4 Webhooks: signatures, replays, ordering (30)
Lab 5 The ledger, capture, refunds and order states (25)
Lab 6 WireMock as the sandbox (10)</t>
        </is>
      </c>
    </row>
    <row r="38">
      <c r="A38" s="39" t="inlineStr">
        <is>
          <t>Lunch</t>
        </is>
      </c>
      <c r="B38" s="40">
        <f>C37</f>
        <v/>
      </c>
      <c r="C38" s="40">
        <f>B38+'Settings and notes'!$C$6/1440</f>
        <v/>
      </c>
      <c r="D38" s="39" t="n"/>
      <c r="E38" s="39" t="n"/>
      <c r="F38" s="39" t="n"/>
      <c r="G38" s="39" t="n"/>
    </row>
    <row r="39" ht="75" customHeight="1">
      <c r="A39" s="6" t="inlineStr">
        <is>
          <t>S3</t>
        </is>
      </c>
      <c r="B39" s="37">
        <f>C38</f>
        <v/>
      </c>
      <c r="C39" s="37">
        <f>B39+TIME(1,40,0)</f>
        <v/>
      </c>
      <c r="D39" s="7" t="inlineStr">
        <is>
          <t>Telling the customer: Resend, and the outbox</t>
        </is>
      </c>
      <c r="E39" s="38" t="inlineStr">
        <is>
          <t>Demo 24</t>
        </is>
      </c>
      <c r="F39" s="8" t="inlineStr">
        <is>
          <t>The notification service on MongoDB: templates and the delivery log as documents, Thymeleaf rendering, a MailSender port with two adapters, Resend (the Java SDK and its test addresses) and SMTP to Mailpit for offline runs. Asynchronous delivery with @Async and the transactional outbox. The order timeline: an append-only event log fed from the outbox and an idempotent consumer with a checkpoint. Resend delivery webhooks and e-mail verification end to end.</t>
        </is>
      </c>
      <c r="G39" s="8" t="inlineStr">
        <is>
          <t>Lab 1 The mail port, Resend and Mailpit (30)
Lab 2 @Async and the transactional outbox (25)
Lab 3 The order timeline and the idempotent consumer (20)
Lab 4 Delivery webhooks and e-mail verification (15)</t>
        </is>
      </c>
    </row>
    <row r="40">
      <c r="A40" s="39" t="inlineStr">
        <is>
          <t>Break</t>
        </is>
      </c>
      <c r="B40" s="40">
        <f>C39</f>
        <v/>
      </c>
      <c r="C40" s="40">
        <f>B40+'Settings and notes'!$C$5/1440</f>
        <v/>
      </c>
      <c r="D40" s="39" t="n"/>
      <c r="E40" s="39" t="n"/>
      <c r="F40" s="39" t="n"/>
      <c r="G40" s="39" t="n"/>
    </row>
    <row r="41" ht="75" customHeight="1">
      <c r="A41" s="6" t="inlineStr">
        <is>
          <t>S4</t>
        </is>
      </c>
      <c r="B41" s="37">
        <f>C40</f>
        <v/>
      </c>
      <c r="C41" s="37">
        <f>B41+TIME(1,30,0)</f>
        <v/>
      </c>
      <c r="D41" s="7" t="inlineStr">
        <is>
          <t>Feeding the catalogue: batch feeds and partner APIs</t>
        </is>
      </c>
      <c r="E41" s="38" t="inlineStr">
        <is>
          <t>Demo 25 (+ Demo 24)</t>
        </is>
      </c>
      <c r="F41" s="8" t="inlineStr">
        <is>
          <t>Spring Batch: job, step, reader, processor, writer. A supplier CSV or JSON feed imported into the catalogue with validation and a reject file; the price feed into the pricing service with a status endpoint; restartability, chunking, skip policies and scheduling. A shipping-rates partner API through an HTTP interface client with resilience and WireMock contract tests, and how partners authenticate (API keys, client credentials, mTLS).</t>
        </is>
      </c>
      <c r="G41" s="8" t="inlineStr">
        <is>
          <t>Lab 1 Spring Batch: job, step, reader, writer (20)
Lab 2 The supplier feed, with a reject file (25)
Lab 3 The price feed and its status endpoint (15)
Lab 4 The shipping partner behind WireMock (20)</t>
        </is>
      </c>
    </row>
    <row r="43" ht="20" customHeight="1">
      <c r="A43" s="10" t="inlineStr">
        <is>
          <t>Add-on 3 · The Next.js storefront, part 1: foundations, catalogue and search</t>
        </is>
      </c>
    </row>
    <row r="44">
      <c r="A44" s="41" t="inlineStr">
        <is>
          <t>When</t>
        </is>
      </c>
      <c r="B44" s="42" t="inlineStr">
        <is>
          <t>After the core, or on its own</t>
        </is>
      </c>
    </row>
    <row r="45">
      <c r="A45" s="41" t="inlineStr">
        <is>
          <t>Requires</t>
        </is>
      </c>
      <c r="B45" s="42" t="inlineStr">
        <is>
          <t>Nothing from the core: the finished backend is provided as containers. Written for front-end developers; back-end developers are welcome.</t>
        </is>
      </c>
    </row>
    <row r="46">
      <c r="A46" s="41" t="inlineStr">
        <is>
          <t>Why add it</t>
        </is>
      </c>
      <c r="B46" s="42" t="inlineStr">
        <is>
          <t>Front-end teams get the same store the back-end track builds, feature by feature, against a real API with regions, localised data, facets and scoped prices, rather than a mock.</t>
        </is>
      </c>
    </row>
    <row r="47" ht="24" customHeight="1">
      <c r="A47" s="3" t="inlineStr">
        <is>
          <t>Session</t>
        </is>
      </c>
      <c r="B47" s="3" t="inlineStr">
        <is>
          <t>Start</t>
        </is>
      </c>
      <c r="C47" s="3" t="inlineStr">
        <is>
          <t>End</t>
        </is>
      </c>
      <c r="D47" s="3" t="inlineStr">
        <is>
          <t>Session title</t>
        </is>
      </c>
      <c r="E47" s="3" t="inlineStr">
        <is>
          <t>Demo</t>
        </is>
      </c>
      <c r="F47" s="3" t="inlineStr">
        <is>
          <t>Topics covered</t>
        </is>
      </c>
      <c r="G47" s="3" t="inlineStr">
        <is>
          <t>Labs covered</t>
        </is>
      </c>
    </row>
    <row r="48" ht="60" customHeight="1">
      <c r="A48" s="6" t="inlineStr">
        <is>
          <t>S1</t>
        </is>
      </c>
      <c r="B48" s="37">
        <f>'Settings and notes'!$C$4</f>
        <v/>
      </c>
      <c r="C48" s="37">
        <f>B48+TIME(1,35,0)</f>
        <v/>
      </c>
      <c r="D48" s="7" t="inlineStr">
        <is>
          <t>Foundations: App Router, locale routing and regions</t>
        </is>
      </c>
      <c r="E48" s="38" t="inlineStr">
        <is>
          <t>Demo 26</t>
        </is>
      </c>
      <c r="F48" s="8" t="inlineStr">
        <is>
          <t>create-next-app, the App Router, layouts, server vs client components. [locale] routing with next-intl, proxy.ts, the locale cookie and message files. The same-origin BFF proxy route and the one bff client module that never throws. The region menu: country, language and currency from the stores and store-context endpoints. Environment, images and fonts.</t>
        </is>
      </c>
      <c r="G48" s="8" t="inlineStr">
        <is>
          <t>Lab 1 The App Router, layouts and components (20)
Lab 2 Locale routing with next-intl and proxy.ts (25)
Lab 3 The BFF proxy route and the bff client (20)
Lab 4 The region menu (25)</t>
        </is>
      </c>
    </row>
    <row r="49">
      <c r="A49" s="39" t="inlineStr">
        <is>
          <t>Break</t>
        </is>
      </c>
      <c r="B49" s="40">
        <f>C48</f>
        <v/>
      </c>
      <c r="C49" s="40">
        <f>B49+'Settings and notes'!$C$5/1440</f>
        <v/>
      </c>
      <c r="D49" s="39" t="n"/>
      <c r="E49" s="39" t="n"/>
      <c r="F49" s="39" t="n"/>
      <c r="G49" s="39" t="n"/>
    </row>
    <row r="50" ht="45" customHeight="1">
      <c r="A50" s="6" t="inlineStr">
        <is>
          <t>S2</t>
        </is>
      </c>
      <c r="B50" s="37">
        <f>C49</f>
        <v/>
      </c>
      <c r="C50" s="37">
        <f>B50+TIME(1,20,0)</f>
        <v/>
      </c>
      <c r="D50" s="7" t="inlineStr">
        <is>
          <t>The product listing and the product page</t>
        </is>
      </c>
      <c r="E50" s="38" t="inlineStr">
        <is>
          <t>Demo 27 (part 1)</t>
        </is>
      </c>
      <c r="F50" s="8" t="inlineStr">
        <is>
          <t>Server components fetching the product listing; fetch caching, revalidate and tags. The product page under products/[slug] with generateMetadata, not-found, loading and error boundaries. Product cards with next/image, the scoped price and the availability badge.</t>
        </is>
      </c>
      <c r="G50" s="8" t="inlineStr">
        <is>
          <t>Lab 1 Server components and fetch caching (25)
Lab 2 The product page and its boundaries (25)
Lab 3 Product cards, images and the price (20)</t>
        </is>
      </c>
    </row>
    <row r="51">
      <c r="A51" s="39" t="inlineStr">
        <is>
          <t>Lunch</t>
        </is>
      </c>
      <c r="B51" s="40">
        <f>C50</f>
        <v/>
      </c>
      <c r="C51" s="40">
        <f>B51+'Settings and notes'!$C$6/1440</f>
        <v/>
      </c>
      <c r="D51" s="39" t="n"/>
      <c r="E51" s="39" t="n"/>
      <c r="F51" s="39" t="n"/>
      <c r="G51" s="39" t="n"/>
    </row>
    <row r="52" ht="60" customHeight="1">
      <c r="A52" s="6" t="inlineStr">
        <is>
          <t>S3</t>
        </is>
      </c>
      <c r="B52" s="37">
        <f>C51</f>
        <v/>
      </c>
      <c r="C52" s="37">
        <f>B52+TIME(1,20,0)</f>
        <v/>
      </c>
      <c r="D52" s="7" t="inlineStr">
        <is>
          <t>Categories, variants, bundles and the design system</t>
        </is>
      </c>
      <c r="E52" s="38" t="inlineStr">
        <is>
          <t>Demo 27 (part 2)</t>
        </is>
      </c>
      <c r="F52" s="8" t="inlineStr">
        <is>
          <t>Tailwind 4 and the ShopScope design system: header, footer, brand mark, announcement bar. Category navigation and category cards from the category tree. The variant selector (variant matrix) and bundle contents. Related products and home sections.</t>
        </is>
      </c>
      <c r="G52" s="8" t="inlineStr">
        <is>
          <t>Lab 4 Tailwind and the design system (20)
Lab 5 Category navigation and cards (15)
Lab 6 The variant selector and bundles (25)
Lab 7 Related products and home sections (10)</t>
        </is>
      </c>
    </row>
    <row r="53">
      <c r="A53" s="39" t="inlineStr">
        <is>
          <t>Break</t>
        </is>
      </c>
      <c r="B53" s="40">
        <f>C52</f>
        <v/>
      </c>
      <c r="C53" s="40">
        <f>B53+'Settings and notes'!$C$5/1440</f>
        <v/>
      </c>
      <c r="D53" s="39" t="n"/>
      <c r="E53" s="39" t="n"/>
      <c r="F53" s="39" t="n"/>
      <c r="G53" s="39" t="n"/>
    </row>
    <row r="54" ht="75" customHeight="1">
      <c r="A54" s="6" t="inlineStr">
        <is>
          <t>S4</t>
        </is>
      </c>
      <c r="B54" s="37">
        <f>C53</f>
        <v/>
      </c>
      <c r="C54" s="37">
        <f>B54+TIME(1,35,0)</f>
        <v/>
      </c>
      <c r="D54" s="7" t="inlineStr">
        <is>
          <t>Search and discovery</t>
        </is>
      </c>
      <c r="E54" s="38" t="inlineStr">
        <is>
          <t>Demo 28</t>
        </is>
      </c>
      <c r="F54" s="8" t="inlineStr">
        <is>
          <t>The search bar and URL state: searchParams, useSearchParams and useTransition. The facet panel: filters, post-filtering and counts. Sort and pagination with Suspense and streaming. The composed listing endpoint vs assembling on the client, and why the server wins. Store-scoped browsing: the region switch re-scopes the listing.</t>
        </is>
      </c>
      <c r="G54" s="8" t="inlineStr">
        <is>
          <t>Lab 1 The search bar and URL state (20)
Lab 2 The facet panel (25)
Lab 3 Sort, pagination and streaming (20)
Lab 4 Composed on the server vs assembled on the client (10)
Lab 5 The region switch re-scopes the listing (15)</t>
        </is>
      </c>
    </row>
    <row r="56" ht="20" customHeight="1">
      <c r="A56" s="10" t="inlineStr">
        <is>
          <t>Add-on 4 · The Next.js storefront, part 2: cart, accounts and checkout</t>
        </is>
      </c>
    </row>
    <row r="57">
      <c r="A57" s="41" t="inlineStr">
        <is>
          <t>When</t>
        </is>
      </c>
      <c r="B57" s="42" t="inlineStr">
        <is>
          <t>After Storefront part 1</t>
        </is>
      </c>
    </row>
    <row r="58">
      <c r="A58" s="41" t="inlineStr">
        <is>
          <t>Requires</t>
        </is>
      </c>
      <c r="B58" s="42" t="inlineStr">
        <is>
          <t>Storefront part 1.</t>
        </is>
      </c>
    </row>
    <row r="59">
      <c r="A59" s="41" t="inlineStr">
        <is>
          <t>Why add it</t>
        </is>
      </c>
      <c r="B59" s="42" t="inlineStr">
        <is>
          <t>This is where the storefront becomes a shop: a shopper session, authentication through the gateway, a real payment in test mode, and the failure paths a real store must handle.</t>
        </is>
      </c>
    </row>
    <row r="60" ht="24" customHeight="1">
      <c r="A60" s="3" t="inlineStr">
        <is>
          <t>Session</t>
        </is>
      </c>
      <c r="B60" s="3" t="inlineStr">
        <is>
          <t>Start</t>
        </is>
      </c>
      <c r="C60" s="3" t="inlineStr">
        <is>
          <t>End</t>
        </is>
      </c>
      <c r="D60" s="3" t="inlineStr">
        <is>
          <t>Session title</t>
        </is>
      </c>
      <c r="E60" s="3" t="inlineStr">
        <is>
          <t>Demo</t>
        </is>
      </c>
      <c r="F60" s="3" t="inlineStr">
        <is>
          <t>Topics covered</t>
        </is>
      </c>
      <c r="G60" s="3" t="inlineStr">
        <is>
          <t>Labs covered</t>
        </is>
      </c>
    </row>
    <row r="61" ht="60" customHeight="1">
      <c r="A61" s="6" t="inlineStr">
        <is>
          <t>S1</t>
        </is>
      </c>
      <c r="B61" s="37">
        <f>'Settings and notes'!$C$4</f>
        <v/>
      </c>
      <c r="C61" s="37">
        <f>B61+TIME(1,25,0)</f>
        <v/>
      </c>
      <c r="D61" s="7" t="inlineStr">
        <is>
          <t>The cart and the wishlist</t>
        </is>
      </c>
      <c r="E61" s="38" t="inlineStr">
        <is>
          <t>Demo 29</t>
        </is>
      </c>
      <c r="F61" s="8" t="inlineStr">
        <is>
          <t>The shopper session cookie and useSession; the guest cart. useCart with SWR: add to bag, quantities, optimistic updates and rollback. The bundle as one unit, the Subscribe &amp; Save line, promo codes. Fulfilment: pickup vs delivery, shipping address, shipping methods, the order summary. The wishlist, save for later, move to cart; server actions vs route handlers.</t>
        </is>
      </c>
      <c r="G61" s="8" t="inlineStr">
        <is>
          <t>Lab 1 The shopper session and the guest cart (15)
Lab 2 useCart with SWR and optimistic updates (30)
Lab 3 Bundles, Subscribe &amp; Save and promo codes (15)
Lab 4 Fulfilment and the order summary (20)</t>
        </is>
      </c>
    </row>
    <row r="62">
      <c r="A62" s="39" t="inlineStr">
        <is>
          <t>Break</t>
        </is>
      </c>
      <c r="B62" s="40">
        <f>C61</f>
        <v/>
      </c>
      <c r="C62" s="40">
        <f>B62+'Settings and notes'!$C$5/1440</f>
        <v/>
      </c>
      <c r="D62" s="39" t="n"/>
      <c r="E62" s="39" t="n"/>
      <c r="F62" s="39" t="n"/>
      <c r="G62" s="39" t="n"/>
    </row>
    <row r="63" ht="60" customHeight="1">
      <c r="A63" s="6" t="inlineStr">
        <is>
          <t>S2</t>
        </is>
      </c>
      <c r="B63" s="37">
        <f>C62</f>
        <v/>
      </c>
      <c r="C63" s="37">
        <f>B63+TIME(1,30,0)</f>
        <v/>
      </c>
      <c r="D63" s="7" t="inlineStr">
        <is>
          <t>Accounts and authentication</t>
        </is>
      </c>
      <c r="E63" s="38" t="inlineStr">
        <is>
          <t>Demo 30</t>
        </is>
      </c>
      <c r="F63" s="8" t="inlineStr">
        <is>
          <t>Register, sign in, forgot and reset password, verify e-mail pages and forms. The session: tokens in an httpOnly cookie with jose, proxy.ts protecting /account, the OIDC flow through the gateway BFF. The cart-merge dialog on sign-in. Profile, address book, default addresses and the price tier. Sign out everywhere, and the error states.</t>
        </is>
      </c>
      <c r="G63" s="8" t="inlineStr">
        <is>
          <t>Lab 1 Register, sign in and the password flows (25)
Lab 2 The session cookie and protected routes (25)
Lab 3 The cart-merge dialog (15)
Lab 4 Profile, address book and price tier (20)</t>
        </is>
      </c>
    </row>
    <row r="64">
      <c r="A64" s="39" t="inlineStr">
        <is>
          <t>Lunch</t>
        </is>
      </c>
      <c r="B64" s="40">
        <f>C63</f>
        <v/>
      </c>
      <c r="C64" s="40">
        <f>B64+'Settings and notes'!$C$6/1440</f>
        <v/>
      </c>
      <c r="D64" s="39" t="n"/>
      <c r="E64" s="39" t="n"/>
      <c r="F64" s="39" t="n"/>
      <c r="G64" s="39" t="n"/>
    </row>
    <row r="65" ht="75" customHeight="1">
      <c r="A65" s="6" t="inlineStr">
        <is>
          <t>S3</t>
        </is>
      </c>
      <c r="B65" s="37">
        <f>C64</f>
        <v/>
      </c>
      <c r="C65" s="37">
        <f>B65+TIME(1,30,0)</f>
        <v/>
      </c>
      <c r="D65" s="7" t="inlineStr">
        <is>
          <t>Checkout, Razorpay and orders</t>
        </is>
      </c>
      <c r="E65" s="38" t="inlineStr">
        <is>
          <t>Demo 31</t>
        </is>
      </c>
      <c r="F65" s="8" t="inlineStr">
        <is>
          <t>The checkout wizard: address, shipping, payment; readiness from the backend. Razorpay Checkout.js: load the script, open with the order id from the checkout session, handle success and dismissal, post the result back for verification. The confirmation page with the order, its ledger, state and subscription. Order history and the order timeline. Failure paths: declined, abandoned, webhook not yet arrived.</t>
        </is>
      </c>
      <c r="G65" s="8" t="inlineStr">
        <is>
          <t>Lab 1 The checkout wizard and readiness (20)
Lab 2 Razorpay Checkout.js (30)
Lab 3 The confirmation page (20)
Lab 4 Failure paths (15)</t>
        </is>
      </c>
    </row>
    <row r="66">
      <c r="A66" s="39" t="inlineStr">
        <is>
          <t>Break</t>
        </is>
      </c>
      <c r="B66" s="40">
        <f>C65</f>
        <v/>
      </c>
      <c r="C66" s="40">
        <f>B66+'Settings and notes'!$C$5/1440</f>
        <v/>
      </c>
      <c r="D66" s="39" t="n"/>
      <c r="E66" s="39" t="n"/>
      <c r="F66" s="39" t="n"/>
      <c r="G66" s="39" t="n"/>
    </row>
    <row r="67" ht="60" customHeight="1">
      <c r="A67" s="6" t="inlineStr">
        <is>
          <t>S4</t>
        </is>
      </c>
      <c r="B67" s="37">
        <f>C66</f>
        <v/>
      </c>
      <c r="C67" s="37">
        <f>B67+TIME(1,20,0)</f>
        <v/>
      </c>
      <c r="D67" s="7" t="inlineStr">
        <is>
          <t>A production storefront</t>
        </is>
      </c>
      <c r="E67" s="38" t="inlineStr">
        <is>
          <t>Demo 32</t>
        </is>
      </c>
      <c r="F67" s="8" t="inlineStr">
        <is>
          <t>ProblemDetail rendering, global error boundaries and feature flags from the backend. Accessibility and Lighthouse: keyboard, focus, contrast, Core Web Vitals. A first Playwright smoke test (browse, bag, checkout). next build with standalone output, environment at build vs run time, and deploying the storefront alone against a hosted gateway.</t>
        </is>
      </c>
      <c r="G67" s="8" t="inlineStr">
        <is>
          <t>Lab 1 Errors, boundaries and feature flags (15)
Lab 2 Accessibility and Lighthouse (20)
Lab 3 A Playwright smoke test (20)
Lab 4 Build, standalone output and deployment (15)</t>
        </is>
      </c>
    </row>
    <row r="69" ht="20" customHeight="1">
      <c r="A69" s="10" t="inlineStr">
        <is>
          <t>Add-on 5 · Testing, part 1: unit tests, Spring slices and integration tests</t>
        </is>
      </c>
    </row>
    <row r="70">
      <c r="A70" s="41" t="inlineStr">
        <is>
          <t>When</t>
        </is>
      </c>
      <c r="B70" s="42" t="inlineStr">
        <is>
          <t>After the core</t>
        </is>
      </c>
    </row>
    <row r="71">
      <c r="A71" s="41" t="inlineStr">
        <is>
          <t>Requires</t>
        </is>
      </c>
      <c r="B71" s="42" t="inlineStr">
        <is>
          <t>Core Day 3.</t>
        </is>
      </c>
    </row>
    <row r="72">
      <c r="A72" s="41" t="inlineStr">
        <is>
          <t>Why add it</t>
        </is>
      </c>
      <c r="B72" s="42" t="inlineStr">
        <is>
          <t>For teams that want to change services with confidence: the right test at the right level, tests that prove something (mutation testing), and architecture rules the build enforces.</t>
        </is>
      </c>
    </row>
    <row r="73" ht="24" customHeight="1">
      <c r="A73" s="3" t="inlineStr">
        <is>
          <t>Session</t>
        </is>
      </c>
      <c r="B73" s="3" t="inlineStr">
        <is>
          <t>Start</t>
        </is>
      </c>
      <c r="C73" s="3" t="inlineStr">
        <is>
          <t>End</t>
        </is>
      </c>
      <c r="D73" s="3" t="inlineStr">
        <is>
          <t>Session title</t>
        </is>
      </c>
      <c r="E73" s="3" t="inlineStr">
        <is>
          <t>Demo</t>
        </is>
      </c>
      <c r="F73" s="3" t="inlineStr">
        <is>
          <t>Topics covered</t>
        </is>
      </c>
      <c r="G73" s="3" t="inlineStr">
        <is>
          <t>Labs covered</t>
        </is>
      </c>
    </row>
    <row r="74" ht="60" customHeight="1">
      <c r="A74" s="6" t="inlineStr">
        <is>
          <t>S1</t>
        </is>
      </c>
      <c r="B74" s="37">
        <f>'Settings and notes'!$C$4</f>
        <v/>
      </c>
      <c r="C74" s="37">
        <f>B74+TIME(1,20,0)</f>
        <v/>
      </c>
      <c r="D74" s="7" t="inlineStr">
        <is>
          <t>JUnit 5 in depth, AssertJ and test data</t>
        </is>
      </c>
      <c r="E74" s="38" t="inlineStr">
        <is>
          <t>Demo 33 (part 1)</t>
        </is>
      </c>
      <c r="F74" s="8" t="inlineStr">
        <is>
          <t>JUnit 5 beyond the basics: parameterized, nested and dynamic tests, extensions. AssertJ custom assertions. Test-data builders and object mothers for carts, products and orders. Testing the pricing engine and domain records without Spring.</t>
        </is>
      </c>
      <c r="G74" s="8" t="inlineStr">
        <is>
          <t>Lab 1 Parameterized, nested and dynamic tests (20)
Lab 2 AssertJ custom assertions (15)
Lab 3 Builders and object mothers (20)
Lab 4 The pricing engine without Spring (15)</t>
        </is>
      </c>
    </row>
    <row r="75">
      <c r="A75" s="39" t="inlineStr">
        <is>
          <t>Break</t>
        </is>
      </c>
      <c r="B75" s="40">
        <f>C74</f>
        <v/>
      </c>
      <c r="C75" s="40">
        <f>B75+'Settings and notes'!$C$5/1440</f>
        <v/>
      </c>
      <c r="D75" s="39" t="n"/>
      <c r="E75" s="39" t="n"/>
      <c r="F75" s="39" t="n"/>
      <c r="G75" s="39" t="n"/>
    </row>
    <row r="76" ht="60" customHeight="1">
      <c r="A76" s="6" t="inlineStr">
        <is>
          <t>S2</t>
        </is>
      </c>
      <c r="B76" s="37">
        <f>C75</f>
        <v/>
      </c>
      <c r="C76" s="37">
        <f>B76+TIME(1,30,0)</f>
        <v/>
      </c>
      <c r="D76" s="7" t="inlineStr">
        <is>
          <t>Mockito, property-based and mutation testing, ArchUnit</t>
        </is>
      </c>
      <c r="E76" s="38" t="inlineStr">
        <is>
          <t>Demo 33 (part 2)</t>
        </is>
      </c>
      <c r="F76" s="8" t="inlineStr">
        <is>
          <t>Mockito: strict stubs, argument captors, BDDMockito, and what not to mock. Property-based testing with jqwik on the pricing engine. Mutation testing with PIT: is the suite actually testing anything? ArchUnit for the feature and layer rules: the domain has no framework types, JPA and MongoDB types stay in infrastructure.</t>
        </is>
      </c>
      <c r="G76" s="8" t="inlineStr">
        <is>
          <t>Lab 5 Mockito without the pitfalls (20)
Lab 6 Property-based tests with jqwik (20)
Lab 7 Mutation testing with PIT (20)
Lab 8 Architecture rules with ArchUnit (20)</t>
        </is>
      </c>
    </row>
    <row r="77">
      <c r="A77" s="39" t="inlineStr">
        <is>
          <t>Lunch</t>
        </is>
      </c>
      <c r="B77" s="40">
        <f>C76</f>
        <v/>
      </c>
      <c r="C77" s="40">
        <f>B77+'Settings and notes'!$C$6/1440</f>
        <v/>
      </c>
      <c r="D77" s="39" t="n"/>
      <c r="E77" s="39" t="n"/>
      <c r="F77" s="39" t="n"/>
      <c r="G77" s="39" t="n"/>
    </row>
    <row r="78" ht="60" customHeight="1">
      <c r="A78" s="6" t="inlineStr">
        <is>
          <t>S3</t>
        </is>
      </c>
      <c r="B78" s="37">
        <f>C77</f>
        <v/>
      </c>
      <c r="C78" s="37">
        <f>B78+TIME(1,25,0)</f>
        <v/>
      </c>
      <c r="D78" s="7" t="inlineStr">
        <is>
          <t>Spring slices: web, data and the full context</t>
        </is>
      </c>
      <c r="E78" s="38" t="inlineStr">
        <is>
          <t>Demo 34 (part 1)</t>
        </is>
      </c>
      <c r="F78" s="8" t="inlineStr">
        <is>
          <t>@WebMvcTest and MockMvcTester in depth: validation, ProblemDetail and security with jwt(). @DataJpaTest and @DataMongoTest with Testcontainers for PostgreSQL, MySQL and MongoDB: Flyway, queries and N+1 assertions with Hibernate statistics. @SpringBootTest with RestTestClient, @MockitoBean, test profiles and configuration.</t>
        </is>
      </c>
      <c r="G78" s="8" t="inlineStr">
        <is>
          <t>Lab 1 @WebMvcTest in depth (25)
Lab 2 Data slices on three database engines (25)
Lab 3 @SpringBootTest and RestTestClient (25)</t>
        </is>
      </c>
    </row>
    <row r="79">
      <c r="A79" s="39" t="inlineStr">
        <is>
          <t>Break</t>
        </is>
      </c>
      <c r="B79" s="40">
        <f>C78</f>
        <v/>
      </c>
      <c r="C79" s="40">
        <f>B79+'Settings and notes'!$C$5/1440</f>
        <v/>
      </c>
      <c r="D79" s="39" t="n"/>
      <c r="E79" s="39" t="n"/>
      <c r="F79" s="39" t="n"/>
      <c r="G79" s="39" t="n"/>
    </row>
    <row r="80" ht="45" customHeight="1">
      <c r="A80" s="6" t="inlineStr">
        <is>
          <t>S4</t>
        </is>
      </c>
      <c r="B80" s="37">
        <f>C79</f>
        <v/>
      </c>
      <c r="C80" s="37">
        <f>B80+TIME(1,15,0)</f>
        <v/>
      </c>
      <c r="D80" s="7" t="inlineStr">
        <is>
          <t>Async, time and a fast suite</t>
        </is>
      </c>
      <c r="E80" s="38" t="inlineStr">
        <is>
          <t>Demo 34 (part 2)</t>
        </is>
      </c>
      <c r="F80" s="8" t="inlineStr">
        <is>
          <t>Async and time under test: Awaitility for the outbox, Clock as a bean, @Scheduled. Keeping the suite fast: context caching, reusable containers and parallel execution. A test strategy for ShopScope: what each service tests at which level.</t>
        </is>
      </c>
      <c r="G80" s="8" t="inlineStr">
        <is>
          <t>Lab 4 Awaitility, Clock and @Scheduled (20)
Lab 5 Context caching, reusable containers, parallel runs (25)
Lab 6 A test strategy per service (20)</t>
        </is>
      </c>
    </row>
    <row r="82" ht="20" customHeight="1">
      <c r="A82" s="10" t="inlineStr">
        <is>
          <t>Add-on 6 · Testing, part 2: between services, end to end and non-functional</t>
        </is>
      </c>
    </row>
    <row r="83">
      <c r="A83" s="41" t="inlineStr">
        <is>
          <t>When</t>
        </is>
      </c>
      <c r="B83" s="42" t="inlineStr">
        <is>
          <t>After Testing part 1</t>
        </is>
      </c>
    </row>
    <row r="84">
      <c r="A84" s="41" t="inlineStr">
        <is>
          <t>Requires</t>
        </is>
      </c>
      <c r="B84" s="42" t="inlineStr">
        <is>
          <t>Testing part 1. The storefront days are recommended for the Playwright session.</t>
        </is>
      </c>
    </row>
    <row r="85">
      <c r="A85" s="41" t="inlineStr">
        <is>
          <t>Why add it</t>
        </is>
      </c>
      <c r="B85" s="42" t="inlineStr">
        <is>
          <t>These are the tests that only exist once there are many services and a UI: the ones that catch a breaking API change, a mis-verified webhook or a slow checkout before a customer does.</t>
        </is>
      </c>
    </row>
    <row r="86" ht="24" customHeight="1">
      <c r="A86" s="3" t="inlineStr">
        <is>
          <t>Session</t>
        </is>
      </c>
      <c r="B86" s="3" t="inlineStr">
        <is>
          <t>Start</t>
        </is>
      </c>
      <c r="C86" s="3" t="inlineStr">
        <is>
          <t>End</t>
        </is>
      </c>
      <c r="D86" s="3" t="inlineStr">
        <is>
          <t>Session title</t>
        </is>
      </c>
      <c r="E86" s="3" t="inlineStr">
        <is>
          <t>Demo</t>
        </is>
      </c>
      <c r="F86" s="3" t="inlineStr">
        <is>
          <t>Topics covered</t>
        </is>
      </c>
      <c r="G86" s="3" t="inlineStr">
        <is>
          <t>Labs covered</t>
        </is>
      </c>
    </row>
    <row r="87" ht="45" customHeight="1">
      <c r="A87" s="6" t="inlineStr">
        <is>
          <t>S1</t>
        </is>
      </c>
      <c r="B87" s="37">
        <f>'Settings and notes'!$C$4</f>
        <v/>
      </c>
      <c r="C87" s="37">
        <f>B87+TIME(1,25,0)</f>
        <v/>
      </c>
      <c r="D87" s="7" t="inlineStr">
        <is>
          <t>Contracts between services, and partners behind WireMock</t>
        </is>
      </c>
      <c r="E87" s="38" t="inlineStr">
        <is>
          <t>Demo 35 (part 1)</t>
        </is>
      </c>
      <c r="F87" s="8" t="inlineStr">
        <is>
          <t>Consumer-driven contracts between the order and catalogue services with Spring Cloud Contract (or Pact), and breaking the contract on purpose so the provider's build fails. Razorpay, Resend and the shipping API behind WireMock, including signed webhook fixtures.</t>
        </is>
      </c>
      <c r="G87" s="8" t="inlineStr">
        <is>
          <t>Lab 1 A consumer-driven contract (35)
Lab 2 Break the contract on purpose (15)
Lab 3 Partners and signed webhooks behind WireMock (25)</t>
        </is>
      </c>
    </row>
    <row r="88">
      <c r="A88" s="39" t="inlineStr">
        <is>
          <t>Break</t>
        </is>
      </c>
      <c r="B88" s="40">
        <f>C87</f>
        <v/>
      </c>
      <c r="C88" s="40">
        <f>B88+'Settings and notes'!$C$5/1440</f>
        <v/>
      </c>
      <c r="D88" s="39" t="n"/>
      <c r="E88" s="39" t="n"/>
      <c r="F88" s="39" t="n"/>
      <c r="G88" s="39" t="n"/>
    </row>
    <row r="89" ht="45" customHeight="1">
      <c r="A89" s="6" t="inlineStr">
        <is>
          <t>S2</t>
        </is>
      </c>
      <c r="B89" s="37">
        <f>C88</f>
        <v/>
      </c>
      <c r="C89" s="37">
        <f>B89+TIME(1,20,0)</f>
        <v/>
      </c>
      <c r="D89" s="7" t="inlineStr">
        <is>
          <t>Keycloak, Redis, the gateway and resilience under test</t>
        </is>
      </c>
      <c r="E89" s="38" t="inlineStr">
        <is>
          <t>Demo 35 (part 2)</t>
        </is>
      </c>
      <c r="F89" s="8" t="inlineStr">
        <is>
          <t>Testcontainers for Keycloak and Redis; gateway routing and security tests. Resilience under test: the circuit opens, the fallback answers, the retry stops. Test data: seeding, isolation and resetting between tests.</t>
        </is>
      </c>
      <c r="G89" s="8" t="inlineStr">
        <is>
          <t>Lab 4 Keycloak and Redis in containers; gateway tests (30)
Lab 5 Resilience under test (25)
Lab 6 Test data: seeding and isolation (15)</t>
        </is>
      </c>
    </row>
    <row r="90">
      <c r="A90" s="39" t="inlineStr">
        <is>
          <t>Lunch</t>
        </is>
      </c>
      <c r="B90" s="40">
        <f>C89</f>
        <v/>
      </c>
      <c r="C90" s="40">
        <f>B90+'Settings and notes'!$C$6/1440</f>
        <v/>
      </c>
      <c r="D90" s="39" t="n"/>
      <c r="E90" s="39" t="n"/>
      <c r="F90" s="39" t="n"/>
      <c r="G90" s="39" t="n"/>
    </row>
    <row r="91" ht="45" customHeight="1">
      <c r="A91" s="6" t="inlineStr">
        <is>
          <t>S3</t>
        </is>
      </c>
      <c r="B91" s="37">
        <f>C90</f>
        <v/>
      </c>
      <c r="C91" s="37">
        <f>B91+TIME(1,20,0)</f>
        <v/>
      </c>
      <c r="D91" s="7" t="inlineStr">
        <is>
          <t>Playwright on the storefront</t>
        </is>
      </c>
      <c r="E91" s="38" t="inlineStr">
        <is>
          <t>Demo 36 (part 1)</t>
        </is>
      </c>
      <c r="F91" s="8" t="inlineStr">
        <is>
          <t>Playwright on the storefront: page objects, fixtures, stored auth state and the trace viewer. Network control: mocking the BFF route, testing the locked and failed states. An accessibility audit with axe in the test suite.</t>
        </is>
      </c>
      <c r="G91" s="8" t="inlineStr">
        <is>
          <t>Lab 1 Page objects, fixtures and stored auth state (35)
Lab 2 Network control and failure states (20)
Lab 3 Accessibility with axe (15)</t>
        </is>
      </c>
    </row>
    <row r="92">
      <c r="A92" s="39" t="inlineStr">
        <is>
          <t>Break</t>
        </is>
      </c>
      <c r="B92" s="40">
        <f>C91</f>
        <v/>
      </c>
      <c r="C92" s="40">
        <f>B92+'Settings and notes'!$C$5/1440</f>
        <v/>
      </c>
      <c r="D92" s="39" t="n"/>
      <c r="E92" s="39" t="n"/>
      <c r="F92" s="39" t="n"/>
      <c r="G92" s="39" t="n"/>
    </row>
    <row r="93" ht="45" customHeight="1">
      <c r="A93" s="6" t="inlineStr">
        <is>
          <t>S4</t>
        </is>
      </c>
      <c r="B93" s="37">
        <f>C92</f>
        <v/>
      </c>
      <c r="C93" s="37">
        <f>B93+TIME(1,25,0)</f>
        <v/>
      </c>
      <c r="D93" s="7" t="inlineStr">
        <is>
          <t>Load, flakiness and the quality gate</t>
        </is>
      </c>
      <c r="E93" s="38" t="inlineStr">
        <is>
          <t>Demo 36 (part 2)</t>
        </is>
      </c>
      <c r="F93" s="8" t="inlineStr">
        <is>
          <t>Load testing checkout with k6: thresholds and the first bottleneck. Flaky tests: causes, quarantine and retries that hide bugs. Coverage with JaCoCo, a quality gate, and the test pyramid as CI stages.</t>
        </is>
      </c>
      <c r="G93" s="8" t="inlineStr">
        <is>
          <t>Lab 4 Load testing checkout with k6 (30)
Lab 5 Flaky tests (15)
Lab 6 Coverage, the quality gate and the pyramid in CI (30)</t>
        </is>
      </c>
    </row>
    <row r="95" ht="20" customHeight="1">
      <c r="A95" s="10" t="inlineStr">
        <is>
          <t>Add-on 7 · Docker: containerising the services and the storefront</t>
        </is>
      </c>
    </row>
    <row r="96">
      <c r="A96" s="41" t="inlineStr">
        <is>
          <t>When</t>
        </is>
      </c>
      <c r="B96" s="42" t="inlineStr">
        <is>
          <t>After the core</t>
        </is>
      </c>
    </row>
    <row r="97">
      <c r="A97" s="41" t="inlineStr">
        <is>
          <t>Requires</t>
        </is>
      </c>
      <c r="B97" s="42" t="inlineStr">
        <is>
          <t>Core Day 4.</t>
        </is>
      </c>
    </row>
    <row r="98">
      <c r="A98" s="41" t="inlineStr">
        <is>
          <t>Why add it</t>
        </is>
      </c>
      <c r="B98" s="42" t="inlineStr">
        <is>
          <t>What a Spring Boot service needs to start fast, stay small and run as a non-root process, learned on a real multi-service system rather than a hello-world image.</t>
        </is>
      </c>
    </row>
    <row r="99" ht="24" customHeight="1">
      <c r="A99" s="3" t="inlineStr">
        <is>
          <t>Session</t>
        </is>
      </c>
      <c r="B99" s="3" t="inlineStr">
        <is>
          <t>Start</t>
        </is>
      </c>
      <c r="C99" s="3" t="inlineStr">
        <is>
          <t>End</t>
        </is>
      </c>
      <c r="D99" s="3" t="inlineStr">
        <is>
          <t>Session title</t>
        </is>
      </c>
      <c r="E99" s="3" t="inlineStr">
        <is>
          <t>Demo</t>
        </is>
      </c>
      <c r="F99" s="3" t="inlineStr">
        <is>
          <t>Topics covered</t>
        </is>
      </c>
      <c r="G99" s="3" t="inlineStr">
        <is>
          <t>Labs covered</t>
        </is>
      </c>
    </row>
    <row r="100" ht="45" customHeight="1">
      <c r="A100" s="6" t="inlineStr">
        <is>
          <t>S1</t>
        </is>
      </c>
      <c r="B100" s="37">
        <f>'Settings and notes'!$C$4</f>
        <v/>
      </c>
      <c r="C100" s="37">
        <f>B100+TIME(1,20,0)</f>
        <v/>
      </c>
      <c r="D100" s="7" t="inlineStr">
        <is>
          <t>Images, layers and the Dockerfile</t>
        </is>
      </c>
      <c r="E100" s="38" t="inlineStr">
        <is>
          <t>Demo 37 (part 1)</t>
        </is>
      </c>
      <c r="F100" s="8" t="inlineStr">
        <is>
          <t>Images, containers, layers and registries: the mental model. A multi-stage Dockerfile for the catalogue service. Cache discipline, layered jars (-Djarmode=tools) and .dockerignore.</t>
        </is>
      </c>
      <c r="G100" s="8" t="inlineStr">
        <is>
          <t>Lab 1 The mental model, hands on (20)
Lab 2 A multi-stage Dockerfile (30)
Lab 3 Cache discipline and layered jars (20)</t>
        </is>
      </c>
    </row>
    <row r="101">
      <c r="A101" s="39" t="inlineStr">
        <is>
          <t>Break</t>
        </is>
      </c>
      <c r="B101" s="40">
        <f>C100</f>
        <v/>
      </c>
      <c r="C101" s="40">
        <f>B101+'Settings and notes'!$C$5/1440</f>
        <v/>
      </c>
      <c r="D101" s="39" t="n"/>
      <c r="E101" s="39" t="n"/>
      <c r="F101" s="39" t="n"/>
      <c r="G101" s="39" t="n"/>
    </row>
    <row r="102" ht="45" customHeight="1">
      <c r="A102" s="6" t="inlineStr">
        <is>
          <t>S2</t>
        </is>
      </c>
      <c r="B102" s="37">
        <f>C101</f>
        <v/>
      </c>
      <c r="C102" s="37">
        <f>B102+TIME(1,25,0)</f>
        <v/>
      </c>
      <c r="D102" s="7" t="inlineStr">
        <is>
          <t>The JVM in a container, hardened</t>
        </is>
      </c>
      <c r="E102" s="38" t="inlineStr">
        <is>
          <t>Demo 37 (part 2)</t>
        </is>
      </c>
      <c r="F102" s="8" t="inlineStr">
        <is>
          <t>The JVM in a container: memory, CPU and start-up time. Harden it: non-root, a minimal runtime image, a health check, then lint with hadolint and scan with Trivy. The storefront image: Next.js standalone output, build-time vs run-time environment.</t>
        </is>
      </c>
      <c r="G102" s="8" t="inlineStr">
        <is>
          <t>Lab 4 Memory, CPU and start-up time (25)
Lab 5 Harden, lint and scan (35)
Lab 6 The storefront image (15)</t>
        </is>
      </c>
    </row>
    <row r="103">
      <c r="A103" s="39" t="inlineStr">
        <is>
          <t>Lunch</t>
        </is>
      </c>
      <c r="B103" s="40">
        <f>C102</f>
        <v/>
      </c>
      <c r="C103" s="40">
        <f>B103+'Settings and notes'!$C$6/1440</f>
        <v/>
      </c>
      <c r="D103" s="39" t="n"/>
      <c r="E103" s="39" t="n"/>
      <c r="F103" s="39" t="n"/>
      <c r="G103" s="39" t="n"/>
    </row>
    <row r="104" ht="60" customHeight="1">
      <c r="A104" s="6" t="inlineStr">
        <is>
          <t>S3</t>
        </is>
      </c>
      <c r="B104" s="37">
        <f>C103</f>
        <v/>
      </c>
      <c r="C104" s="37">
        <f>B104+TIME(1,25,0)</f>
        <v/>
      </c>
      <c r="D104" s="7" t="inlineStr">
        <is>
          <t>Buildpacks, Jib and registries</t>
        </is>
      </c>
      <c r="E104" s="38" t="inlineStr">
        <is>
          <t>Demo 38 (part 1)</t>
        </is>
      </c>
      <c r="F104" s="8" t="inlineStr">
        <is>
          <t>Two more ways to build: Cloud Native Buildpacks and Jib, and when to pick each. Images for every service with one script. Tags vs digests; pushing to GitHub Container Registry. Multi-architecture images.</t>
        </is>
      </c>
      <c r="G104" s="8" t="inlineStr">
        <is>
          <t>Lab 1 Buildpacks and Jib (30)
Lab 2 Every service, one script (15)
Lab 3 Tags, digests and GHCR (20)
Lab 4 Multi-architecture images (10)</t>
        </is>
      </c>
    </row>
    <row r="105">
      <c r="A105" s="39" t="inlineStr">
        <is>
          <t>Break</t>
        </is>
      </c>
      <c r="B105" s="40">
        <f>C104</f>
        <v/>
      </c>
      <c r="C105" s="40">
        <f>B105+'Settings and notes'!$C$5/1440</f>
        <v/>
      </c>
      <c r="D105" s="39" t="n"/>
      <c r="E105" s="39" t="n"/>
      <c r="F105" s="39" t="n"/>
      <c r="G105" s="39" t="n"/>
    </row>
    <row r="106" ht="45" customHeight="1">
      <c r="A106" s="6" t="inlineStr">
        <is>
          <t>S4</t>
        </is>
      </c>
      <c r="B106" s="37">
        <f>C105</f>
        <v/>
      </c>
      <c r="C106" s="37">
        <f>B106+TIME(1,20,0)</f>
        <v/>
      </c>
      <c r="D106" s="7" t="inlineStr">
        <is>
          <t>The whole system by hand</t>
        </is>
      </c>
      <c r="E106" s="38" t="inlineStr">
        <is>
          <t>Demo 38 (part 2)</t>
        </is>
      </c>
      <c r="F106" s="8" t="inlineStr">
        <is>
          <t>Run the whole system with plain docker run: networks, volumes, environment variables for three database engines, and the pain that motivates Compose. Troubleshooting a running container: logs, exec, inspect, resource usage.</t>
        </is>
      </c>
      <c r="G106" s="8" t="inlineStr">
        <is>
          <t>Lab 5 The system with docker run (50)
Lab 6 Troubleshooting running containers (20)</t>
        </is>
      </c>
    </row>
    <row r="108" ht="20" customHeight="1">
      <c r="A108" s="10" t="inlineStr">
        <is>
          <t>Add-on 8 · Docker Compose: the whole system in one file</t>
        </is>
      </c>
    </row>
    <row r="109">
      <c r="A109" s="41" t="inlineStr">
        <is>
          <t>When</t>
        </is>
      </c>
      <c r="B109" s="42" t="inlineStr">
        <is>
          <t>After Docker</t>
        </is>
      </c>
    </row>
    <row r="110">
      <c r="A110" s="41" t="inlineStr">
        <is>
          <t>Requires</t>
        </is>
      </c>
      <c r="B110" s="42" t="inlineStr">
        <is>
          <t>The Docker day.</t>
        </is>
      </c>
    </row>
    <row r="111">
      <c r="A111" s="41" t="inlineStr">
        <is>
          <t>Why add it</t>
        </is>
      </c>
      <c r="B111" s="42" t="inlineStr">
        <is>
          <t>The same file runs the system on a laptop, in CI and on a single server; the day shows what Compose is for and where it stops.</t>
        </is>
      </c>
    </row>
    <row r="112" ht="24" customHeight="1">
      <c r="A112" s="3" t="inlineStr">
        <is>
          <t>Session</t>
        </is>
      </c>
      <c r="B112" s="3" t="inlineStr">
        <is>
          <t>Start</t>
        </is>
      </c>
      <c r="C112" s="3" t="inlineStr">
        <is>
          <t>End</t>
        </is>
      </c>
      <c r="D112" s="3" t="inlineStr">
        <is>
          <t>Session title</t>
        </is>
      </c>
      <c r="E112" s="3" t="inlineStr">
        <is>
          <t>Demo</t>
        </is>
      </c>
      <c r="F112" s="3" t="inlineStr">
        <is>
          <t>Topics covered</t>
        </is>
      </c>
      <c r="G112" s="3" t="inlineStr">
        <is>
          <t>Labs covered</t>
        </is>
      </c>
    </row>
    <row r="113" ht="45" customHeight="1">
      <c r="A113" s="6" t="inlineStr">
        <is>
          <t>S1</t>
        </is>
      </c>
      <c r="B113" s="37">
        <f>'Settings and notes'!$C$4</f>
        <v/>
      </c>
      <c r="C113" s="37">
        <f>B113+TIME(1,25,0)</f>
        <v/>
      </c>
      <c r="D113" s="7" t="inlineStr">
        <is>
          <t>One file, the whole stack</t>
        </is>
      </c>
      <c r="E113" s="38" t="inlineStr">
        <is>
          <t>Demo 39 (part 1)</t>
        </is>
      </c>
      <c r="F113" s="8" t="inlineStr">
        <is>
          <t>One file for the whole stack: services, the storefront, PostgreSQL, MySQL, MongoDB, Redis, Keycloak and Mailpit. depends_on with health checks: start-up order that actually works. Networking: service DNS, and the fake incident.</t>
        </is>
      </c>
      <c r="G113" s="8" t="inlineStr">
        <is>
          <t>Lab 1 One file, the whole stack (40)
Lab 2 Health checks and start-up order (20)
Lab 3 Service DNS and the fake incident (15)</t>
        </is>
      </c>
    </row>
    <row r="114">
      <c r="A114" s="39" t="inlineStr">
        <is>
          <t>Break</t>
        </is>
      </c>
      <c r="B114" s="40">
        <f>C113</f>
        <v/>
      </c>
      <c r="C114" s="40">
        <f>B114+'Settings and notes'!$C$5/1440</f>
        <v/>
      </c>
      <c r="D114" s="39" t="n"/>
      <c r="E114" s="39" t="n"/>
      <c r="F114" s="39" t="n"/>
      <c r="G114" s="39" t="n"/>
    </row>
    <row r="115" ht="45" customHeight="1">
      <c r="A115" s="6" t="inlineStr">
        <is>
          <t>S2</t>
        </is>
      </c>
      <c r="B115" s="37">
        <f>C114</f>
        <v/>
      </c>
      <c r="C115" s="37">
        <f>B115+TIME(1,20,0)</f>
        <v/>
      </c>
      <c r="D115" s="7" t="inlineStr">
        <is>
          <t>Secrets, profiles and the smoke test</t>
        </is>
      </c>
      <c r="E115" s="38" t="inlineStr">
        <is>
          <t>Demo 39 (part 2)</t>
        </is>
      </c>
      <c r="F115" s="8" t="inlineStr">
        <is>
          <t>Environment variables and secrets discipline (.env, Compose secrets, provider keys). Profiles: observability, tools, partners (WireMock in place of Razorpay and Resend). An end-to-end smoke test: browse, sign in, check out.</t>
        </is>
      </c>
      <c r="G115" s="8" t="inlineStr">
        <is>
          <t>Lab 4 Environment and secrets (25)
Lab 5 Profiles (20)
Lab 6 The end-to-end smoke test (25)</t>
        </is>
      </c>
    </row>
    <row r="116">
      <c r="A116" s="39" t="inlineStr">
        <is>
          <t>Lunch</t>
        </is>
      </c>
      <c r="B116" s="40">
        <f>C115</f>
        <v/>
      </c>
      <c r="C116" s="40">
        <f>B116+'Settings and notes'!$C$6/1440</f>
        <v/>
      </c>
      <c r="D116" s="39" t="n"/>
      <c r="E116" s="39" t="n"/>
      <c r="F116" s="39" t="n"/>
      <c r="G116" s="39" t="n"/>
    </row>
    <row r="117" ht="45" customHeight="1">
      <c r="A117" s="6" t="inlineStr">
        <is>
          <t>S3</t>
        </is>
      </c>
      <c r="B117" s="37">
        <f>C116</f>
        <v/>
      </c>
      <c r="C117" s="37">
        <f>B117+TIME(1,15,0)</f>
        <v/>
      </c>
      <c r="D117" s="7" t="inlineStr">
        <is>
          <t>The inner loop and scaling</t>
        </is>
      </c>
      <c r="E117" s="38" t="inlineStr">
        <is>
          <t>Demo 40 (part 1)</t>
        </is>
      </c>
      <c r="F117" s="8" t="inlineStr">
        <is>
          <t>Spring Boot's Docker Compose support vs a full-stack Compose file: which one when. compose watch and override files for a fast inner loop, Java and Next.js. Scaling a service behind the gateway, and resource limits.</t>
        </is>
      </c>
      <c r="G117" s="8" t="inlineStr">
        <is>
          <t>Lab 1 Boot's Compose support vs the full stack (15)
Lab 2 compose watch and override files (30)
Lab 3 Scaling behind the gateway, resource limits (20)</t>
        </is>
      </c>
    </row>
    <row r="118">
      <c r="A118" s="39" t="inlineStr">
        <is>
          <t>Break</t>
        </is>
      </c>
      <c r="B118" s="40">
        <f>C117</f>
        <v/>
      </c>
      <c r="C118" s="40">
        <f>B118+'Settings and notes'!$C$5/1440</f>
        <v/>
      </c>
      <c r="D118" s="39" t="n"/>
      <c r="E118" s="39" t="n"/>
      <c r="F118" s="39" t="n"/>
      <c r="G118" s="39" t="n"/>
    </row>
    <row r="119" ht="45" customHeight="1">
      <c r="A119" s="6" t="inlineStr">
        <is>
          <t>S4</t>
        </is>
      </c>
      <c r="B119" s="37">
        <f>C118</f>
        <v/>
      </c>
      <c r="C119" s="37">
        <f>B119+TIME(1,30,0)</f>
        <v/>
      </c>
      <c r="D119" s="7" t="inlineStr">
        <is>
          <t>Operations: logs, volumes, backups and production-like runs</t>
        </is>
      </c>
      <c r="E119" s="38" t="inlineStr">
        <is>
          <t>Demo 40 (part 2)</t>
        </is>
      </c>
      <c r="F119" s="8" t="inlineStr">
        <is>
          <t>Logging drivers, volumes, and a backup and restore drill for each of the three database engines. The production-like profile, and what Compose is not for.</t>
        </is>
      </c>
      <c r="G119" s="8" t="inlineStr">
        <is>
          <t>Lab 4 Logging drivers and volumes (20)
Lab 5 Backup and restore: PostgreSQL, MySQL, MongoDB (40)
Lab 6 The production-like profile (20)</t>
        </is>
      </c>
    </row>
    <row r="121" ht="20" customHeight="1">
      <c r="A121" s="10" t="inlineStr">
        <is>
          <t>Add-on 9 · GitHub Actions: CI/CD for the whole system</t>
        </is>
      </c>
    </row>
    <row r="122">
      <c r="A122" s="41" t="inlineStr">
        <is>
          <t>When</t>
        </is>
      </c>
      <c r="B122" s="42" t="inlineStr">
        <is>
          <t>After Docker</t>
        </is>
      </c>
    </row>
    <row r="123">
      <c r="A123" s="41" t="inlineStr">
        <is>
          <t>Requires</t>
        </is>
      </c>
      <c r="B123" s="42" t="inlineStr">
        <is>
          <t>The Docker day.</t>
        </is>
      </c>
    </row>
    <row r="124">
      <c r="A124" s="41" t="inlineStr">
        <is>
          <t>Why add it</t>
        </is>
      </c>
      <c r="B124" s="42" t="inlineStr">
        <is>
          <t>A pipeline the team can keep: every push builds only what changed, every merge is gated, and every release is traceable to a signed image.</t>
        </is>
      </c>
    </row>
    <row r="125" ht="24" customHeight="1">
      <c r="A125" s="3" t="inlineStr">
        <is>
          <t>Session</t>
        </is>
      </c>
      <c r="B125" s="3" t="inlineStr">
        <is>
          <t>Start</t>
        </is>
      </c>
      <c r="C125" s="3" t="inlineStr">
        <is>
          <t>End</t>
        </is>
      </c>
      <c r="D125" s="3" t="inlineStr">
        <is>
          <t>Session title</t>
        </is>
      </c>
      <c r="E125" s="3" t="inlineStr">
        <is>
          <t>Demo</t>
        </is>
      </c>
      <c r="F125" s="3" t="inlineStr">
        <is>
          <t>Topics covered</t>
        </is>
      </c>
      <c r="G125" s="3" t="inlineStr">
        <is>
          <t>Labs covered</t>
        </is>
      </c>
    </row>
    <row r="126" ht="45" customHeight="1">
      <c r="A126" s="6" t="inlineStr">
        <is>
          <t>S1</t>
        </is>
      </c>
      <c r="B126" s="37">
        <f>'Settings and notes'!$C$4</f>
        <v/>
      </c>
      <c r="C126" s="37">
        <f>B126+TIME(1,15,0)</f>
        <v/>
      </c>
      <c r="D126" s="7" t="inlineStr">
        <is>
          <t>CI for a multi-service repository</t>
        </is>
      </c>
      <c r="E126" s="38" t="inlineStr">
        <is>
          <t>Demo 41 (part 1)</t>
        </is>
      </c>
      <c r="F126" s="8" t="inlineStr">
        <is>
          <t>A minimal CI workflow with the Maven and npm caches. Fan-out and fan-in: a matrix over services plus the storefront. Path filters: build only what changed.</t>
        </is>
      </c>
      <c r="G126" s="8" t="inlineStr">
        <is>
          <t>Lab 1 A minimal CI workflow with caches (25)
Lab 2 A matrix over services and the storefront (25)
Lab 3 Path filters (15)</t>
        </is>
      </c>
    </row>
    <row r="127">
      <c r="A127" s="39" t="inlineStr">
        <is>
          <t>Break</t>
        </is>
      </c>
      <c r="B127" s="40">
        <f>C126</f>
        <v/>
      </c>
      <c r="C127" s="40">
        <f>B127+'Settings and notes'!$C$5/1440</f>
        <v/>
      </c>
      <c r="D127" s="39" t="n"/>
      <c r="E127" s="39" t="n"/>
      <c r="F127" s="39" t="n"/>
      <c r="G127" s="39" t="n"/>
    </row>
    <row r="128" ht="45" customHeight="1">
      <c r="A128" s="6" t="inlineStr">
        <is>
          <t>S2</t>
        </is>
      </c>
      <c r="B128" s="37">
        <f>C127</f>
        <v/>
      </c>
      <c r="C128" s="37">
        <f>B128+TIME(1,20,0)</f>
        <v/>
      </c>
      <c r="D128" s="7" t="inlineStr">
        <is>
          <t>Tests in CI, reusable workflows and the gate</t>
        </is>
      </c>
      <c r="E128" s="38" t="inlineStr">
        <is>
          <t>Demo 41 (part 2)</t>
        </is>
      </c>
      <c r="F128" s="8" t="inlineStr">
        <is>
          <t>Testcontainers, Playwright and contract tests in CI; test reports, coverage and the quality gate. Reusable workflows and composite actions. Branch protection, required checks and Dependabot.</t>
        </is>
      </c>
      <c r="G128" s="8" t="inlineStr">
        <is>
          <t>Lab 4 Testcontainers, Playwright and contracts in CI (35)
Lab 5 Reusable workflows and composite actions (25)
Lab 6 Branch protection and Dependabot (10)</t>
        </is>
      </c>
    </row>
    <row r="129">
      <c r="A129" s="39" t="inlineStr">
        <is>
          <t>Lunch</t>
        </is>
      </c>
      <c r="B129" s="40">
        <f>C128</f>
        <v/>
      </c>
      <c r="C129" s="40">
        <f>B129+'Settings and notes'!$C$6/1440</f>
        <v/>
      </c>
      <c r="D129" s="39" t="n"/>
      <c r="E129" s="39" t="n"/>
      <c r="F129" s="39" t="n"/>
      <c r="G129" s="39" t="n"/>
    </row>
    <row r="130" ht="45" customHeight="1">
      <c r="A130" s="6" t="inlineStr">
        <is>
          <t>S3</t>
        </is>
      </c>
      <c r="B130" s="37">
        <f>C129</f>
        <v/>
      </c>
      <c r="C130" s="37">
        <f>B130+TIME(1,25,0)</f>
        <v/>
      </c>
      <c r="D130" s="7" t="inlineStr">
        <is>
          <t>Images, OIDC and the supply chain</t>
        </is>
      </c>
      <c r="E130" s="38" t="inlineStr">
        <is>
          <t>Demo 42 (part 1)</t>
        </is>
      </c>
      <c r="F130" s="8" t="inlineStr">
        <is>
          <t>Build, tag (commit SHA and semantic version), scan and push images to GHCR. OIDC federation to the cloud: no long-lived secrets. Supply chain: SBOMs, provenance and signed images.</t>
        </is>
      </c>
      <c r="G130" s="8" t="inlineStr">
        <is>
          <t>Lab 1 Build, tag, scan and push to GHCR (30)
Lab 2 OIDC federation (25)
Lab 3 SBOMs, provenance and signing (20)</t>
        </is>
      </c>
    </row>
    <row r="131">
      <c r="A131" s="39" t="inlineStr">
        <is>
          <t>Break</t>
        </is>
      </c>
      <c r="B131" s="40">
        <f>C130</f>
        <v/>
      </c>
      <c r="C131" s="40">
        <f>B131+'Settings and notes'!$C$5/1440</f>
        <v/>
      </c>
      <c r="D131" s="39" t="n"/>
      <c r="E131" s="39" t="n"/>
      <c r="F131" s="39" t="n"/>
      <c r="G131" s="39" t="n"/>
    </row>
    <row r="132" ht="45" customHeight="1">
      <c r="A132" s="6" t="inlineStr">
        <is>
          <t>S4</t>
        </is>
      </c>
      <c r="B132" s="37">
        <f>C131</f>
        <v/>
      </c>
      <c r="C132" s="37">
        <f>B132+TIME(1,30,0)</f>
        <v/>
      </c>
      <c r="D132" s="7" t="inlineStr">
        <is>
          <t>Environments, releases and a deployment</t>
        </is>
      </c>
      <c r="E132" s="38" t="inlineStr">
        <is>
          <t>Demo 42 (part 2)</t>
        </is>
      </c>
      <c r="F132" s="8" t="inlineStr">
        <is>
          <t>Environments with required reviewers: gated deploys to staging, then production. Release automation: changelog, version bump, GitHub release. Deploying ShopScope to a server with Compose from the pipeline.</t>
        </is>
      </c>
      <c r="G132" s="8" t="inlineStr">
        <is>
          <t>Lab 4 Gated environments (35)
Lab 5 Release automation (25)
Lab 6 Deploy with Compose from the pipeline (20)</t>
        </is>
      </c>
    </row>
    <row r="134" ht="20" customHeight="1">
      <c r="A134" s="10" t="inlineStr">
        <is>
          <t>Add-on 10 · Event-driven microservices with Kafka</t>
        </is>
      </c>
    </row>
    <row r="135">
      <c r="A135" s="41" t="inlineStr">
        <is>
          <t>When</t>
        </is>
      </c>
      <c r="B135" s="42" t="inlineStr">
        <is>
          <t>After the core</t>
        </is>
      </c>
    </row>
    <row r="136">
      <c r="A136" s="41" t="inlineStr">
        <is>
          <t>Requires</t>
        </is>
      </c>
      <c r="B136" s="42" t="inlineStr">
        <is>
          <t>Core Day 5. The Integrations day is recommended first.</t>
        </is>
      </c>
    </row>
    <row r="137">
      <c r="A137" s="41" t="inlineStr">
        <is>
          <t>Why add it</t>
        </is>
      </c>
      <c r="B137" s="42" t="inlineStr">
        <is>
          <t>For systems where services must not wait on each other: notifications, the order timeline and the checkout move from synchronous calls to events that stay consistent without one big transaction.</t>
        </is>
      </c>
    </row>
    <row r="138" ht="24" customHeight="1">
      <c r="A138" s="3" t="inlineStr">
        <is>
          <t>Session</t>
        </is>
      </c>
      <c r="B138" s="3" t="inlineStr">
        <is>
          <t>Start</t>
        </is>
      </c>
      <c r="C138" s="3" t="inlineStr">
        <is>
          <t>End</t>
        </is>
      </c>
      <c r="D138" s="3" t="inlineStr">
        <is>
          <t>Session title</t>
        </is>
      </c>
      <c r="E138" s="3" t="inlineStr">
        <is>
          <t>Demo</t>
        </is>
      </c>
      <c r="F138" s="3" t="inlineStr">
        <is>
          <t>Topics covered</t>
        </is>
      </c>
      <c r="G138" s="3" t="inlineStr">
        <is>
          <t>Labs covered</t>
        </is>
      </c>
    </row>
    <row r="139" ht="60" customHeight="1">
      <c r="A139" s="6" t="inlineStr">
        <is>
          <t>S1</t>
        </is>
      </c>
      <c r="B139" s="37">
        <f>'Settings and notes'!$C$4</f>
        <v/>
      </c>
      <c r="C139" s="37">
        <f>B139+TIME(1,25,0)</f>
        <v/>
      </c>
      <c r="D139" s="7" t="inlineStr">
        <is>
          <t>Kafka fundamentals with Spring</t>
        </is>
      </c>
      <c r="E139" s="38" t="inlineStr">
        <is>
          <t>Demo 43</t>
        </is>
      </c>
      <c r="F139" s="8" t="inlineStr">
        <is>
          <t>Topics, partitions, offsets and consumer groups. Kafka in Docker (KRaft mode). KafkaTemplate and @KafkaListener, JSON serialisation, OrderPlaced published by the order service and consumed by the notification service.</t>
        </is>
      </c>
      <c r="G139" s="8" t="inlineStr">
        <is>
          <t>Lab 1 Kafka in Docker, and the CLI (15)
Lab 2 Publish OrderPlaced (25)
Lab 3 Consume it in the notification service (20)
Lab 4 Consumer groups and partitions (15)</t>
        </is>
      </c>
    </row>
    <row r="140">
      <c r="A140" s="39" t="inlineStr">
        <is>
          <t>Break</t>
        </is>
      </c>
      <c r="B140" s="40">
        <f>C139</f>
        <v/>
      </c>
      <c r="C140" s="40">
        <f>B140+'Settings and notes'!$C$5/1440</f>
        <v/>
      </c>
      <c r="D140" s="39" t="n"/>
      <c r="E140" s="39" t="n"/>
      <c r="F140" s="39" t="n"/>
      <c r="G140" s="39" t="n"/>
    </row>
    <row r="141" ht="60" customHeight="1">
      <c r="A141" s="6" t="inlineStr">
        <is>
          <t>S2</t>
        </is>
      </c>
      <c r="B141" s="37">
        <f>C140</f>
        <v/>
      </c>
      <c r="C141" s="37">
        <f>B141+TIME(1,20,0)</f>
        <v/>
      </c>
      <c r="D141" s="7" t="inlineStr">
        <is>
          <t>Reliable consumers</t>
        </is>
      </c>
      <c r="E141" s="38" t="inlineStr">
        <is>
          <t>Demo 44</t>
        </is>
      </c>
      <c r="F141" s="8" t="inlineStr">
        <is>
          <t>Error handling, retries and dead-letter topics with @RetryableTopic, idempotent consumers, message keys and ordering guarantees, and poison messages.</t>
        </is>
      </c>
      <c r="G141" s="8" t="inlineStr">
        <is>
          <t>Lab 1 Retries and a dead-letter topic (25)
Lab 2 An idempotent consumer (20)
Lab 3 Keys and ordering (15)
Lab 4 Poison messages (10)</t>
        </is>
      </c>
    </row>
    <row r="142">
      <c r="A142" s="39" t="inlineStr">
        <is>
          <t>Lunch</t>
        </is>
      </c>
      <c r="B142" s="40">
        <f>C141</f>
        <v/>
      </c>
      <c r="C142" s="40">
        <f>B142+'Settings and notes'!$C$6/1440</f>
        <v/>
      </c>
      <c r="D142" s="39" t="n"/>
      <c r="E142" s="39" t="n"/>
      <c r="F142" s="39" t="n"/>
      <c r="G142" s="39" t="n"/>
    </row>
    <row r="143" ht="45" customHeight="1">
      <c r="A143" s="6" t="inlineStr">
        <is>
          <t>S3</t>
        </is>
      </c>
      <c r="B143" s="37">
        <f>C142</f>
        <v/>
      </c>
      <c r="C143" s="37">
        <f>B143+TIME(1,25,0)</f>
        <v/>
      </c>
      <c r="D143" s="7" t="inlineStr">
        <is>
          <t>The outbox done properly, and the search read model</t>
        </is>
      </c>
      <c r="E143" s="38" t="inlineStr">
        <is>
          <t>Demo 45</t>
        </is>
      </c>
      <c r="F143" s="8" t="inlineStr">
        <is>
          <t>The dual-write problem reproduced, change data capture with Debezium relaying the outbox, at-least-once delivery, and an OpenSearch read model for the product listing fed by catalogue events.</t>
        </is>
      </c>
      <c r="G143" s="8" t="inlineStr">
        <is>
          <t>Lab 1 Reproduce the dual write (15)
Lab 2 Debezium relays the outbox (30)
Lab 3 The search read model on OpenSearch (30)</t>
        </is>
      </c>
    </row>
    <row r="144">
      <c r="A144" s="39" t="inlineStr">
        <is>
          <t>Break</t>
        </is>
      </c>
      <c r="B144" s="40">
        <f>C143</f>
        <v/>
      </c>
      <c r="C144" s="40">
        <f>B144+'Settings and notes'!$C$5/1440</f>
        <v/>
      </c>
      <c r="D144" s="39" t="n"/>
      <c r="E144" s="39" t="n"/>
      <c r="F144" s="39" t="n"/>
      <c r="G144" s="39" t="n"/>
    </row>
    <row r="145" ht="45" customHeight="1">
      <c r="A145" s="6" t="inlineStr">
        <is>
          <t>S4</t>
        </is>
      </c>
      <c r="B145" s="37">
        <f>C144</f>
        <v/>
      </c>
      <c r="C145" s="37">
        <f>B145+TIME(1,20,0)</f>
        <v/>
      </c>
      <c r="D145" s="7" t="inlineStr">
        <is>
          <t>The checkout saga</t>
        </is>
      </c>
      <c r="E145" s="38" t="inlineStr">
        <is>
          <t>Demo 46</t>
        </is>
      </c>
      <c r="F145" s="8" t="inlineStr">
        <is>
          <t>Choreography vs orchestration, compensating actions (reserve stock, take payment, confirm or cancel) across order, inventory and payment, and testing with a Kafka Testcontainer.</t>
        </is>
      </c>
      <c r="G145" s="8" t="inlineStr">
        <is>
          <t>Lab 1 A choreographed checkout saga (35)
Lab 2 Compensation when payment fails (20)
Lab 3 Orchestration, compared (15)</t>
        </is>
      </c>
    </row>
    <row r="147" ht="20" customHeight="1">
      <c r="A147" s="10" t="inlineStr">
        <is>
          <t>Add-on 11 · Kubernetes: ShopScope on a cluster</t>
        </is>
      </c>
    </row>
    <row r="148">
      <c r="A148" s="41" t="inlineStr">
        <is>
          <t>When</t>
        </is>
      </c>
      <c r="B148" s="42" t="inlineStr">
        <is>
          <t>After Docker and Compose</t>
        </is>
      </c>
    </row>
    <row r="149">
      <c r="A149" s="41" t="inlineStr">
        <is>
          <t>Requires</t>
        </is>
      </c>
      <c r="B149" s="42" t="inlineStr">
        <is>
          <t>The Docker and Docker Compose days. GitHub Actions is recommended first.</t>
        </is>
      </c>
    </row>
    <row r="150">
      <c r="A150" s="41" t="inlineStr">
        <is>
          <t>Why add it</t>
        </is>
      </c>
      <c r="B150" s="42" t="inlineStr">
        <is>
          <t>For teams that deploy to Kubernetes or a managed container platform: what a Spring Boot service needs to start fast, stay healthy and roll out without downtime, with Eureka and Config Server replaced by platform services.</t>
        </is>
      </c>
    </row>
    <row r="151" ht="24" customHeight="1">
      <c r="A151" s="3" t="inlineStr">
        <is>
          <t>Session</t>
        </is>
      </c>
      <c r="B151" s="3" t="inlineStr">
        <is>
          <t>Start</t>
        </is>
      </c>
      <c r="C151" s="3" t="inlineStr">
        <is>
          <t>End</t>
        </is>
      </c>
      <c r="D151" s="3" t="inlineStr">
        <is>
          <t>Session title</t>
        </is>
      </c>
      <c r="E151" s="3" t="inlineStr">
        <is>
          <t>Demo</t>
        </is>
      </c>
      <c r="F151" s="3" t="inlineStr">
        <is>
          <t>Topics covered</t>
        </is>
      </c>
      <c r="G151" s="3" t="inlineStr">
        <is>
          <t>Labs covered</t>
        </is>
      </c>
    </row>
    <row r="152" ht="60" customHeight="1">
      <c r="A152" s="6" t="inlineStr">
        <is>
          <t>S1</t>
        </is>
      </c>
      <c r="B152" s="37">
        <f>'Settings and notes'!$C$4</f>
        <v/>
      </c>
      <c r="C152" s="37">
        <f>B152+TIME(1,25,0)</f>
        <v/>
      </c>
      <c r="D152" s="7" t="inlineStr">
        <is>
          <t>Kubernetes essentials</t>
        </is>
      </c>
      <c r="E152" s="38" t="inlineStr">
        <is>
          <t>Demo 47</t>
        </is>
      </c>
      <c r="F152" s="8" t="inlineStr">
        <is>
          <t>Pods, Deployments, Services, ConfigMaps and Secrets, and kubectl. A local cluster with kind, the catalogue service deployed to it, configuration and secrets, Services and ingress.</t>
        </is>
      </c>
      <c r="G152" s="8" t="inlineStr">
        <is>
          <t>Lab 1 A local cluster (15)
Lab 2 Deploy the catalogue service (30)
Lab 3 Configuration and secrets (20)
Lab 4 Services and ingress (10)</t>
        </is>
      </c>
    </row>
    <row r="153">
      <c r="A153" s="39" t="inlineStr">
        <is>
          <t>Break</t>
        </is>
      </c>
      <c r="B153" s="40">
        <f>C152</f>
        <v/>
      </c>
      <c r="C153" s="40">
        <f>B153+'Settings and notes'!$C$5/1440</f>
        <v/>
      </c>
      <c r="D153" s="39" t="n"/>
      <c r="E153" s="39" t="n"/>
      <c r="F153" s="39" t="n"/>
      <c r="G153" s="39" t="n"/>
    </row>
    <row r="154" ht="60" customHeight="1">
      <c r="A154" s="6" t="inlineStr">
        <is>
          <t>S2</t>
        </is>
      </c>
      <c r="B154" s="37">
        <f>C153</f>
        <v/>
      </c>
      <c r="C154" s="37">
        <f>B154+TIME(1,20,0)</f>
        <v/>
      </c>
      <c r="D154" s="7" t="inlineStr">
        <is>
          <t>Probes, autoscaling and rolling updates</t>
        </is>
      </c>
      <c r="E154" s="38" t="inlineStr">
        <is>
          <t>Demo 48</t>
        </is>
      </c>
      <c r="F154" s="8" t="inlineStr">
        <is>
          <t>Liveness and readiness probes from Actuator, graceful shutdown, resource requests and limits, horizontal pod autoscaling, rolling updates and rollbacks, and Kubernetes services and ConfigMaps replacing Eureka and Config Server.</t>
        </is>
      </c>
      <c r="G154" s="8" t="inlineStr">
        <is>
          <t>Lab 1 Probes (20)
Lab 2 Graceful shutdown and a rolling update (20)
Lab 3 Autoscaling under load (20)
Lab 4 Platform services instead of Eureka and Config (10)</t>
        </is>
      </c>
    </row>
    <row r="155">
      <c r="A155" s="39" t="inlineStr">
        <is>
          <t>Lunch</t>
        </is>
      </c>
      <c r="B155" s="40">
        <f>C154</f>
        <v/>
      </c>
      <c r="C155" s="40">
        <f>B155+'Settings and notes'!$C$6/1440</f>
        <v/>
      </c>
      <c r="D155" s="39" t="n"/>
      <c r="E155" s="39" t="n"/>
      <c r="F155" s="39" t="n"/>
      <c r="G155" s="39" t="n"/>
    </row>
    <row r="156" ht="45" customHeight="1">
      <c r="A156" s="6" t="inlineStr">
        <is>
          <t>S3</t>
        </is>
      </c>
      <c r="B156" s="37">
        <f>C155</f>
        <v/>
      </c>
      <c r="C156" s="37">
        <f>B156+TIME(1,25,0)</f>
        <v/>
      </c>
      <c r="D156" s="7" t="inlineStr">
        <is>
          <t>Helm charts for the system</t>
        </is>
      </c>
      <c r="E156" s="38" t="inlineStr">
        <is>
          <t>Demo 49</t>
        </is>
      </c>
      <c r="F156" s="8" t="inlineStr">
        <is>
          <t>A Helm chart per service and an umbrella chart for the system, values per environment, and the storefront and the three database engines on the cluster.</t>
        </is>
      </c>
      <c r="G156" s="8" t="inlineStr">
        <is>
          <t>Lab 1 A Helm chart (35)
Lab 2 Values per environment (20)
Lab 3 The storefront and the databases on the cluster (20)</t>
        </is>
      </c>
    </row>
    <row r="157">
      <c r="A157" s="39" t="inlineStr">
        <is>
          <t>Break</t>
        </is>
      </c>
      <c r="B157" s="40">
        <f>C156</f>
        <v/>
      </c>
      <c r="C157" s="40">
        <f>B157+'Settings and notes'!$C$5/1440</f>
        <v/>
      </c>
      <c r="D157" s="39" t="n"/>
      <c r="E157" s="39" t="n"/>
      <c r="F157" s="39" t="n"/>
      <c r="G157" s="39" t="n"/>
    </row>
    <row r="158" ht="45" customHeight="1">
      <c r="A158" s="6" t="inlineStr">
        <is>
          <t>S4</t>
        </is>
      </c>
      <c r="B158" s="37">
        <f>C157</f>
        <v/>
      </c>
      <c r="C158" s="37">
        <f>B158+TIME(1,20,0)</f>
        <v/>
      </c>
      <c r="D158" s="7" t="inlineStr">
        <is>
          <t>GitOps with Argo CD</t>
        </is>
      </c>
      <c r="E158" s="38" t="inlineStr">
        <is>
          <t>Demo 50</t>
        </is>
      </c>
      <c r="F158" s="8" t="inlineStr">
        <is>
          <t>GitOps with Argo CD, deployments driven from the GitHub Actions pipeline, and observability on the cluster.</t>
        </is>
      </c>
      <c r="G158" s="8" t="inlineStr">
        <is>
          <t>Lab 1 Argo CD and the application of applications (35)
Lab 2 Deploy from the pipeline (25)
Lab 3 Observability on the cluster (10)</t>
        </is>
      </c>
    </row>
    <row r="160" ht="20" customHeight="1">
      <c r="A160" s="10" t="inlineStr">
        <is>
          <t>Add-on 12 · AI-enabled services with Spring AI</t>
        </is>
      </c>
    </row>
    <row r="161">
      <c r="A161" s="41" t="inlineStr">
        <is>
          <t>When</t>
        </is>
      </c>
      <c r="B161" s="42" t="inlineStr">
        <is>
          <t>After the core</t>
        </is>
      </c>
    </row>
    <row r="162">
      <c r="A162" s="41" t="inlineStr">
        <is>
          <t>Requires</t>
        </is>
      </c>
      <c r="B162" s="42" t="inlineStr">
        <is>
          <t>Core Day 4. Ollama locally, or an API key for a hosted model.</t>
        </is>
      </c>
    </row>
    <row r="163">
      <c r="A163" s="41" t="inlineStr">
        <is>
          <t>Why add it</t>
        </is>
      </c>
      <c r="B163" s="42" t="inlineStr">
        <is>
          <t>For teams asked to add assistants, smart search or product Q&amp;A to existing Java services without leaving the Spring stack, on a catalogue and orders that are real.</t>
        </is>
      </c>
    </row>
    <row r="164" ht="24" customHeight="1">
      <c r="A164" s="3" t="inlineStr">
        <is>
          <t>Session</t>
        </is>
      </c>
      <c r="B164" s="3" t="inlineStr">
        <is>
          <t>Start</t>
        </is>
      </c>
      <c r="C164" s="3" t="inlineStr">
        <is>
          <t>End</t>
        </is>
      </c>
      <c r="D164" s="3" t="inlineStr">
        <is>
          <t>Session title</t>
        </is>
      </c>
      <c r="E164" s="3" t="inlineStr">
        <is>
          <t>Demo</t>
        </is>
      </c>
      <c r="F164" s="3" t="inlineStr">
        <is>
          <t>Topics covered</t>
        </is>
      </c>
      <c r="G164" s="3" t="inlineStr">
        <is>
          <t>Labs covered</t>
        </is>
      </c>
    </row>
    <row r="165" ht="60" customHeight="1">
      <c r="A165" s="6" t="inlineStr">
        <is>
          <t>S1</t>
        </is>
      </c>
      <c r="B165" s="37">
        <f>'Settings and notes'!$C$4</f>
        <v/>
      </c>
      <c r="C165" s="37">
        <f>B165+TIME(1,25,0)</f>
        <v/>
      </c>
      <c r="D165" s="7" t="inlineStr">
        <is>
          <t>ChatClient, prompts, structured output and memory</t>
        </is>
      </c>
      <c r="E165" s="38" t="inlineStr">
        <is>
          <t>Demo 51</t>
        </is>
      </c>
      <c r="F165" s="8" t="inlineStr">
        <is>
          <t>A new assistant service. ChatClient, prompt templates, model providers, structured output into Java records, chat memory and streaming responses.</t>
        </is>
      </c>
      <c r="G165" s="8" t="inlineStr">
        <is>
          <t>Lab 1 The assistant service and the first ChatClient call (20)
Lab 2 Prompt templates (15)
Lab 3 Structured output into records (20)
Lab 4 Chat memory and streaming (20)</t>
        </is>
      </c>
    </row>
    <row r="166">
      <c r="A166" s="39" t="inlineStr">
        <is>
          <t>Break</t>
        </is>
      </c>
      <c r="B166" s="40">
        <f>C165</f>
        <v/>
      </c>
      <c r="C166" s="40">
        <f>B166+'Settings and notes'!$C$5/1440</f>
        <v/>
      </c>
      <c r="D166" s="39" t="n"/>
      <c r="E166" s="39" t="n"/>
      <c r="F166" s="39" t="n"/>
      <c r="G166" s="39" t="n"/>
    </row>
    <row r="167" ht="60" customHeight="1">
      <c r="A167" s="6" t="inlineStr">
        <is>
          <t>S2</t>
        </is>
      </c>
      <c r="B167" s="37">
        <f>C166</f>
        <v/>
      </c>
      <c r="C167" s="37">
        <f>B167+TIME(1,20,0)</f>
        <v/>
      </c>
      <c r="D167" s="7" t="inlineStr">
        <is>
          <t>RAG over the catalogue with pgvector</t>
        </is>
      </c>
      <c r="E167" s="38" t="inlineStr">
        <is>
          <t>Demo 52</t>
        </is>
      </c>
      <c r="F167" s="8" t="inlineStr">
        <is>
          <t>Embeddings and pgvector in the catalogue database, an ingestion pipeline fed by catalogue events, a product Q&amp;A endpoint, and evaluating the answers.</t>
        </is>
      </c>
      <c r="G167" s="8" t="inlineStr">
        <is>
          <t>Lab 1 Embeddings and pgvector (20)
Lab 2 Ingestion from catalogue events (25)
Lab 3 A product Q&amp;A endpoint (20)
Lab 4 Evaluating answers (10)</t>
        </is>
      </c>
    </row>
    <row r="168">
      <c r="A168" s="39" t="inlineStr">
        <is>
          <t>Lunch</t>
        </is>
      </c>
      <c r="B168" s="40">
        <f>C167</f>
        <v/>
      </c>
      <c r="C168" s="40">
        <f>B168+'Settings and notes'!$C$6/1440</f>
        <v/>
      </c>
      <c r="D168" s="39" t="n"/>
      <c r="E168" s="39" t="n"/>
      <c r="F168" s="39" t="n"/>
      <c r="G168" s="39" t="n"/>
    </row>
    <row r="169" ht="45" customHeight="1">
      <c r="A169" s="6" t="inlineStr">
        <is>
          <t>S3</t>
        </is>
      </c>
      <c r="B169" s="37">
        <f>C168</f>
        <v/>
      </c>
      <c r="C169" s="37">
        <f>B169+TIME(1,25,0)</f>
        <v/>
      </c>
      <c r="D169" s="7" t="inlineStr">
        <is>
          <t>Tool calling, guardrails and evaluation</t>
        </is>
      </c>
      <c r="E169" s="38" t="inlineStr">
        <is>
          <t>Demo 53</t>
        </is>
      </c>
      <c r="F169" s="8" t="inlineStr">
        <is>
          <t>Tools generated from the /api contract (check stock, track an order, add to bag) that act with the signed-in customer's token, guardrails on what the model may call, and relevance and factuality tests.</t>
        </is>
      </c>
      <c r="G169" s="8" t="inlineStr">
        <is>
          <t>Lab 1 Tools from the API contract, with the customer's token (30)
Lab 2 Guardrails (20)
Lab 3 Evaluation tests (25)</t>
        </is>
      </c>
    </row>
    <row r="170">
      <c r="A170" s="39" t="inlineStr">
        <is>
          <t>Break</t>
        </is>
      </c>
      <c r="B170" s="40">
        <f>C169</f>
        <v/>
      </c>
      <c r="C170" s="40">
        <f>B170+'Settings and notes'!$C$5/1440</f>
        <v/>
      </c>
      <c r="D170" s="39" t="n"/>
      <c r="E170" s="39" t="n"/>
      <c r="F170" s="39" t="n"/>
      <c r="G170" s="39" t="n"/>
    </row>
    <row r="171" ht="45" customHeight="1">
      <c r="A171" s="6" t="inlineStr">
        <is>
          <t>S4</t>
        </is>
      </c>
      <c r="B171" s="37">
        <f>C170</f>
        <v/>
      </c>
      <c r="C171" s="37">
        <f>B171+TIME(1,20,0)</f>
        <v/>
      </c>
      <c r="D171" s="7" t="inlineStr">
        <is>
          <t>An MCP server and the storefront assistant</t>
        </is>
      </c>
      <c r="E171" s="38" t="inlineStr">
        <is>
          <t>Demo 54</t>
        </is>
      </c>
      <c r="F171" s="8" t="inlineStr">
        <is>
          <t>An MCP server exposing ShopScope tools, the assistant widget in the storefront, and token and cost observability.</t>
        </is>
      </c>
      <c r="G171" s="8" t="inlineStr">
        <is>
          <t>Lab 1 An MCP server (30)
Lab 2 The assistant widget (25)
Lab 3 Tokens and cost observability (15)</t>
        </is>
      </c>
    </row>
    <row r="173" ht="20" customHeight="1">
      <c r="A173" s="10" t="inlineStr">
        <is>
          <t>Add-on 13 · Production readiness, migration and capstone</t>
        </is>
      </c>
    </row>
    <row r="174">
      <c r="A174" s="41" t="inlineStr">
        <is>
          <t>When</t>
        </is>
      </c>
      <c r="B174" s="42" t="inlineStr">
        <is>
          <t>Always the last day</t>
        </is>
      </c>
    </row>
    <row r="175">
      <c r="A175" s="41" t="inlineStr">
        <is>
          <t>Requires</t>
        </is>
      </c>
      <c r="B175" s="42" t="inlineStr">
        <is>
          <t>Core Days 1–5. Best taken last.</t>
        </is>
      </c>
    </row>
    <row r="176">
      <c r="A176" s="41" t="inlineStr">
        <is>
          <t>Why add it</t>
        </is>
      </c>
      <c r="B176" s="42" t="inlineStr">
        <is>
          <t>Turns the training into evidence: each participant ships one service with its API, data, security, tests and container, and is reviewed against a rubric.</t>
        </is>
      </c>
    </row>
    <row r="177" ht="24" customHeight="1">
      <c r="A177" s="3" t="inlineStr">
        <is>
          <t>Session</t>
        </is>
      </c>
      <c r="B177" s="3" t="inlineStr">
        <is>
          <t>Start</t>
        </is>
      </c>
      <c r="C177" s="3" t="inlineStr">
        <is>
          <t>End</t>
        </is>
      </c>
      <c r="D177" s="3" t="inlineStr">
        <is>
          <t>Session title</t>
        </is>
      </c>
      <c r="E177" s="3" t="inlineStr">
        <is>
          <t>Demo</t>
        </is>
      </c>
      <c r="F177" s="3" t="inlineStr">
        <is>
          <t>Topics covered</t>
        </is>
      </c>
      <c r="G177" s="3" t="inlineStr">
        <is>
          <t>Labs covered</t>
        </is>
      </c>
    </row>
    <row r="178" ht="45" customHeight="1">
      <c r="A178" s="6" t="inlineStr">
        <is>
          <t>S1</t>
        </is>
      </c>
      <c r="B178" s="37">
        <f>'Settings and notes'!$C$4</f>
        <v/>
      </c>
      <c r="C178" s="37">
        <f>B178+TIME(1,15,0)</f>
        <v/>
      </c>
      <c r="D178" s="7" t="inlineStr">
        <is>
          <t>The production checklist</t>
        </is>
      </c>
      <c r="E178" s="38" t="inlineStr">
        <is>
          <t>Demo 55 (part 1)</t>
        </is>
      </c>
      <c r="F178" s="8" t="inlineStr">
        <is>
          <t>Security hardening against the OWASP API Security Top 10, secrets management, structured logging, graceful degradation, and faster start-up with GraalVM native images and CRaC (overview).</t>
        </is>
      </c>
      <c r="G178" s="8" t="inlineStr">
        <is>
          <t>Lab 1 An OWASP API review of ShopScope (30)
Lab 2 Secrets out of the code (15)
Lab 3 A native image, compared (20)</t>
        </is>
      </c>
    </row>
    <row r="179">
      <c r="A179" s="39" t="inlineStr">
        <is>
          <t>Break</t>
        </is>
      </c>
      <c r="B179" s="40">
        <f>C178</f>
        <v/>
      </c>
      <c r="C179" s="40">
        <f>B179+'Settings and notes'!$C$5/1440</f>
        <v/>
      </c>
      <c r="D179" s="39" t="n"/>
      <c r="E179" s="39" t="n"/>
      <c r="F179" s="39" t="n"/>
      <c r="G179" s="39" t="n"/>
    </row>
    <row r="180" ht="45" customHeight="1">
      <c r="A180" s="6" t="inlineStr">
        <is>
          <t>S2</t>
        </is>
      </c>
      <c r="B180" s="37">
        <f>C179</f>
        <v/>
      </c>
      <c r="C180" s="37">
        <f>B180+TIME(1,5,0)</f>
        <v/>
      </c>
      <c r="D180" s="7" t="inlineStr">
        <is>
          <t>Upgrading legacy Spring, and the interview drill</t>
        </is>
      </c>
      <c r="E180" s="38" t="inlineStr">
        <is>
          <t>Demo 55 (part 2)</t>
        </is>
      </c>
      <c r="F180" s="8" t="inlineStr">
        <is>
          <t>Migrating Spring Boot 2 and 3 code to Spring Boot 4 (javax to jakarta, the new security configuration, Jackson 3) with OpenRewrite recipes, reading an XML-configured codebase, then one interview question per day answered from the course code.</t>
        </is>
      </c>
      <c r="G180" s="8" t="inlineStr">
        <is>
          <t>Lab 1 Upgrade a legacy service with OpenRewrite (30)
Interview drill (35)</t>
        </is>
      </c>
    </row>
    <row r="181">
      <c r="A181" s="39" t="inlineStr">
        <is>
          <t>Lunch</t>
        </is>
      </c>
      <c r="B181" s="40">
        <f>C180</f>
        <v/>
      </c>
      <c r="C181" s="40">
        <f>B181+'Settings and notes'!$C$6/1440</f>
        <v/>
      </c>
      <c r="D181" s="39" t="n"/>
      <c r="E181" s="39" t="n"/>
      <c r="F181" s="39" t="n"/>
      <c r="G181" s="39" t="n"/>
    </row>
    <row r="182" ht="45" customHeight="1">
      <c r="A182" s="6" t="inlineStr">
        <is>
          <t>S3</t>
        </is>
      </c>
      <c r="B182" s="37">
        <f>C181</f>
        <v/>
      </c>
      <c r="C182" s="37">
        <f>B182+TIME(2,15,0)</f>
        <v/>
      </c>
      <c r="D182" s="7" t="inlineStr">
        <is>
          <t>Capstone build</t>
        </is>
      </c>
      <c r="E182" s="38" t="inlineStr">
        <is>
          <t>Demo 55 (part 3)</t>
        </is>
      </c>
      <c r="F182" s="8" t="inlineStr">
        <is>
          <t>Each participant or pair adds one service end to end (reviews, recommendations, returns, or a Redis-backed cart split out of the order service): API, data, security, events, tests and a container image.</t>
        </is>
      </c>
      <c r="G182" s="8" t="inlineStr">
        <is>
          <t>Capstone brief (15)
Guided build time (120)</t>
        </is>
      </c>
    </row>
    <row r="183">
      <c r="A183" s="39" t="inlineStr">
        <is>
          <t>Break</t>
        </is>
      </c>
      <c r="B183" s="40">
        <f>C182</f>
        <v/>
      </c>
      <c r="C183" s="40">
        <f>B183+'Settings and notes'!$C$5/1440</f>
        <v/>
      </c>
      <c r="D183" s="39" t="n"/>
      <c r="E183" s="39" t="n"/>
      <c r="F183" s="39" t="n"/>
      <c r="G183" s="39" t="n"/>
    </row>
    <row r="184" ht="45" customHeight="1">
      <c r="A184" s="6" t="inlineStr">
        <is>
          <t>S4</t>
        </is>
      </c>
      <c r="B184" s="37">
        <f>C183</f>
        <v/>
      </c>
      <c r="C184" s="37">
        <f>B184+TIME(1,0,0)</f>
        <v/>
      </c>
      <c r="D184" s="7" t="inlineStr">
        <is>
          <t>Capstone reviews and close</t>
        </is>
      </c>
      <c r="E184" s="38" t="inlineStr">
        <is>
          <t>Capstone</t>
        </is>
      </c>
      <c r="F184" s="8" t="inlineStr">
        <is>
          <t>Short demos of each capstone, a code review against the assessment rubric, and a closing retrospective with recommended next steps for the team.</t>
        </is>
      </c>
      <c r="G184" s="8" t="inlineStr">
        <is>
          <t>Capstone presentations and review (60)</t>
        </is>
      </c>
    </row>
  </sheetData>
  <mergeCells count="58">
    <mergeCell ref="B111:G111"/>
    <mergeCell ref="A17:G17"/>
    <mergeCell ref="B98:G98"/>
    <mergeCell ref="B136:G136"/>
    <mergeCell ref="A4:G4"/>
    <mergeCell ref="B57:G57"/>
    <mergeCell ref="B148:G148"/>
    <mergeCell ref="A147:G147"/>
    <mergeCell ref="B175:G175"/>
    <mergeCell ref="A134:G134"/>
    <mergeCell ref="A43:G43"/>
    <mergeCell ref="B44:G44"/>
    <mergeCell ref="B162:G162"/>
    <mergeCell ref="A121:G121"/>
    <mergeCell ref="B19:G19"/>
    <mergeCell ref="B174:G174"/>
    <mergeCell ref="A173:G173"/>
    <mergeCell ref="B137:G137"/>
    <mergeCell ref="B84:G84"/>
    <mergeCell ref="A30:G30"/>
    <mergeCell ref="B83:G83"/>
    <mergeCell ref="A82:G82"/>
    <mergeCell ref="B33:G33"/>
    <mergeCell ref="B124:G124"/>
    <mergeCell ref="B6:G6"/>
    <mergeCell ref="B20:G20"/>
    <mergeCell ref="A1:G1"/>
    <mergeCell ref="B85:G85"/>
    <mergeCell ref="B5:G5"/>
    <mergeCell ref="B123:G123"/>
    <mergeCell ref="B45:G45"/>
    <mergeCell ref="A69:G69"/>
    <mergeCell ref="B110:G110"/>
    <mergeCell ref="B32:G32"/>
    <mergeCell ref="B163:G163"/>
    <mergeCell ref="B97:G97"/>
    <mergeCell ref="B135:G135"/>
    <mergeCell ref="A108:G108"/>
    <mergeCell ref="B7:G7"/>
    <mergeCell ref="B72:G72"/>
    <mergeCell ref="B109:G109"/>
    <mergeCell ref="B46:G46"/>
    <mergeCell ref="A56:G56"/>
    <mergeCell ref="B59:G59"/>
    <mergeCell ref="B150:G150"/>
    <mergeCell ref="B31:G31"/>
    <mergeCell ref="B122:G122"/>
    <mergeCell ref="B71:G71"/>
    <mergeCell ref="A95:G95"/>
    <mergeCell ref="B149:G149"/>
    <mergeCell ref="A2:G2"/>
    <mergeCell ref="B18:G18"/>
    <mergeCell ref="B58:G58"/>
    <mergeCell ref="B96:G96"/>
    <mergeCell ref="B70:G70"/>
    <mergeCell ref="B161:G161"/>
    <mergeCell ref="B176:G176"/>
    <mergeCell ref="A160:G160"/>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U32"/>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ht="30" customHeight="1">
      <c r="A1" s="1" t="inlineStr">
        <is>
          <t>Example packages · what each extra day adds</t>
        </is>
      </c>
    </row>
    <row r="2" ht="34" customHeight="1">
      <c r="A2" s="2" t="inlineStr">
        <is>
          <t>Each row is a complete programme, read left to right. Blue cells are the five core days; every coloured cell is one add-on day. These are suggestions: any combination can be built on the "Build your programme" sheet.</t>
        </is>
      </c>
    </row>
    <row r="4">
      <c r="A4" s="43" t="inlineStr">
        <is>
          <t>Key</t>
        </is>
      </c>
      <c r="B4" s="44" t="inlineStr">
        <is>
          <t>Core Days 1–5</t>
        </is>
      </c>
    </row>
    <row r="5">
      <c r="B5" s="45" t="inlineStr">
        <is>
          <t>Pre-course: Modern Java for Spring developers (pre-course bridge)</t>
        </is>
      </c>
    </row>
    <row r="6">
      <c r="B6" s="46" t="inlineStr">
        <is>
          <t>Add-on 1: Microservices in depth: discovery, resilience and observability</t>
        </is>
      </c>
    </row>
    <row r="7">
      <c r="B7" s="47" t="inlineStr">
        <is>
          <t>Add-on 2: Integrations: Razorpay payments, Resend e-mail and batch feeds</t>
        </is>
      </c>
    </row>
    <row r="8">
      <c r="B8" s="48" t="inlineStr">
        <is>
          <t>Add-on 3: The Next.js storefront, part 1: foundations, catalogue and search</t>
        </is>
      </c>
    </row>
    <row r="9">
      <c r="B9" s="49" t="inlineStr">
        <is>
          <t>Add-on 4: The Next.js storefront, part 2: cart, accounts and checkout</t>
        </is>
      </c>
    </row>
    <row r="10">
      <c r="B10" s="50" t="inlineStr">
        <is>
          <t>Add-on 5: Testing, part 1: unit tests, Spring slices and integration tests</t>
        </is>
      </c>
    </row>
    <row r="11">
      <c r="B11" s="51" t="inlineStr">
        <is>
          <t>Add-on 6: Testing, part 2: between services, end to end and non-functional</t>
        </is>
      </c>
    </row>
    <row r="12">
      <c r="B12" s="52" t="inlineStr">
        <is>
          <t>Add-on 7: Docker: containerising the services and the storefront</t>
        </is>
      </c>
    </row>
    <row r="13">
      <c r="B13" s="53" t="inlineStr">
        <is>
          <t>Add-on 8: Docker Compose: the whole system in one file</t>
        </is>
      </c>
    </row>
    <row r="14">
      <c r="B14" s="54" t="inlineStr">
        <is>
          <t>Add-on 9: GitHub Actions: CI/CD for the whole system</t>
        </is>
      </c>
    </row>
    <row r="15">
      <c r="B15" s="55" t="inlineStr">
        <is>
          <t>Add-on 10: Event-driven microservices with Kafka</t>
        </is>
      </c>
    </row>
    <row r="16">
      <c r="B16" s="56" t="inlineStr">
        <is>
          <t>Add-on 11: Kubernetes: ShopScope on a cluster</t>
        </is>
      </c>
    </row>
    <row r="17">
      <c r="B17" s="57" t="inlineStr">
        <is>
          <t>Add-on 12: AI-enabled services with Spring AI</t>
        </is>
      </c>
    </row>
    <row r="18">
      <c r="B18" s="58" t="inlineStr">
        <is>
          <t>Add-on 13: Production readiness, migration and capstone</t>
        </is>
      </c>
    </row>
    <row r="20" ht="24" customHeight="1">
      <c r="A20" s="3" t="inlineStr">
        <is>
          <t>Days</t>
        </is>
      </c>
      <c r="B20" s="3" t="inlineStr">
        <is>
          <t>Best for</t>
        </is>
      </c>
      <c r="C20" s="3" t="inlineStr">
        <is>
          <t>Day 1</t>
        </is>
      </c>
      <c r="D20" s="3" t="inlineStr">
        <is>
          <t>Day 2</t>
        </is>
      </c>
      <c r="E20" s="3" t="inlineStr">
        <is>
          <t>Day 3</t>
        </is>
      </c>
      <c r="F20" s="3" t="inlineStr">
        <is>
          <t>Day 4</t>
        </is>
      </c>
      <c r="G20" s="3" t="inlineStr">
        <is>
          <t>Day 5</t>
        </is>
      </c>
      <c r="H20" s="3" t="inlineStr">
        <is>
          <t>Day 6</t>
        </is>
      </c>
      <c r="I20" s="3" t="inlineStr">
        <is>
          <t>Day 7</t>
        </is>
      </c>
      <c r="J20" s="3" t="inlineStr">
        <is>
          <t>Day 8</t>
        </is>
      </c>
      <c r="K20" s="3" t="inlineStr">
        <is>
          <t>Day 9</t>
        </is>
      </c>
      <c r="L20" s="3" t="inlineStr">
        <is>
          <t>Day 10</t>
        </is>
      </c>
      <c r="M20" s="3" t="inlineStr">
        <is>
          <t>Day 11</t>
        </is>
      </c>
      <c r="N20" s="3" t="inlineStr">
        <is>
          <t>Day 12</t>
        </is>
      </c>
      <c r="O20" s="3" t="inlineStr">
        <is>
          <t>Day 13</t>
        </is>
      </c>
      <c r="P20" s="3" t="inlineStr">
        <is>
          <t>Day 14</t>
        </is>
      </c>
      <c r="Q20" s="3" t="inlineStr">
        <is>
          <t>Day 15</t>
        </is>
      </c>
      <c r="R20" s="3" t="inlineStr">
        <is>
          <t>Day 16</t>
        </is>
      </c>
      <c r="S20" s="3" t="inlineStr">
        <is>
          <t>Day 17</t>
        </is>
      </c>
      <c r="T20" s="3" t="inlineStr">
        <is>
          <t>Day 18</t>
        </is>
      </c>
      <c r="U20" s="3" t="inlineStr">
        <is>
          <t>Day 19</t>
        </is>
      </c>
    </row>
    <row r="21" ht="30" customHeight="1">
      <c r="A21" s="59" t="inlineStr">
        <is>
          <t>5 days</t>
        </is>
      </c>
      <c r="B21" s="60" t="inlineStr">
        <is>
          <t>Most teams building or maintaining Spring Boot microservices</t>
        </is>
      </c>
      <c r="C21" s="61" t="inlineStr">
        <is>
          <t>Core 1</t>
        </is>
      </c>
      <c r="D21" s="61" t="inlineStr">
        <is>
          <t>Core 2</t>
        </is>
      </c>
      <c r="E21" s="61" t="inlineStr">
        <is>
          <t>Core 3</t>
        </is>
      </c>
      <c r="F21" s="61" t="inlineStr">
        <is>
          <t>Core 4</t>
        </is>
      </c>
      <c r="G21" s="61" t="inlineStr">
        <is>
          <t>Core 5</t>
        </is>
      </c>
    </row>
    <row r="22" ht="30" customHeight="1">
      <c r="A22" s="59" t="inlineStr">
        <is>
          <t>6 days</t>
        </is>
      </c>
      <c r="B22" s="60" t="inlineStr">
        <is>
          <t>Developers coming from Java 8 or another language</t>
        </is>
      </c>
      <c r="C22" s="62" t="inlineStr">
        <is>
          <t>Bridge</t>
        </is>
      </c>
      <c r="D22" s="61" t="inlineStr">
        <is>
          <t>Core 1</t>
        </is>
      </c>
      <c r="E22" s="61" t="inlineStr">
        <is>
          <t>Core 2</t>
        </is>
      </c>
      <c r="F22" s="61" t="inlineStr">
        <is>
          <t>Core 3</t>
        </is>
      </c>
      <c r="G22" s="61" t="inlineStr">
        <is>
          <t>Core 4</t>
        </is>
      </c>
      <c r="H22" s="61" t="inlineStr">
        <is>
          <t>Core 5</t>
        </is>
      </c>
    </row>
    <row r="23" ht="30" customHeight="1">
      <c r="A23" s="59" t="inlineStr">
        <is>
          <t>7 days</t>
        </is>
      </c>
      <c r="B23" s="60" t="inlineStr">
        <is>
          <t>Teams running microservices in production</t>
        </is>
      </c>
      <c r="C23" s="61" t="inlineStr">
        <is>
          <t>Core 1</t>
        </is>
      </c>
      <c r="D23" s="61" t="inlineStr">
        <is>
          <t>Core 2</t>
        </is>
      </c>
      <c r="E23" s="61" t="inlineStr">
        <is>
          <t>Core 3</t>
        </is>
      </c>
      <c r="F23" s="61" t="inlineStr">
        <is>
          <t>Core 4</t>
        </is>
      </c>
      <c r="G23" s="61" t="inlineStr">
        <is>
          <t>Core 5</t>
        </is>
      </c>
      <c r="H23" s="63" t="inlineStr">
        <is>
          <t>Resilience</t>
        </is>
      </c>
      <c r="I23" s="64" t="inlineStr">
        <is>
          <t>Integrations</t>
        </is>
      </c>
    </row>
    <row r="24" ht="30" customHeight="1">
      <c r="A24" s="59" t="inlineStr">
        <is>
          <t>7 days</t>
        </is>
      </c>
      <c r="B24" s="60" t="inlineStr">
        <is>
          <t>Full-stack teams, or a front-end team joining the back-end track</t>
        </is>
      </c>
      <c r="C24" s="61" t="inlineStr">
        <is>
          <t>Core 1</t>
        </is>
      </c>
      <c r="D24" s="61" t="inlineStr">
        <is>
          <t>Core 2</t>
        </is>
      </c>
      <c r="E24" s="61" t="inlineStr">
        <is>
          <t>Core 3</t>
        </is>
      </c>
      <c r="F24" s="61" t="inlineStr">
        <is>
          <t>Core 4</t>
        </is>
      </c>
      <c r="G24" s="61" t="inlineStr">
        <is>
          <t>Core 5</t>
        </is>
      </c>
      <c r="H24" s="65" t="inlineStr">
        <is>
          <t>Storefront 1</t>
        </is>
      </c>
      <c r="I24" s="66" t="inlineStr">
        <is>
          <t>Storefront 2</t>
        </is>
      </c>
    </row>
    <row r="25" ht="30" customHeight="1">
      <c r="A25" s="59" t="inlineStr">
        <is>
          <t>7 days</t>
        </is>
      </c>
      <c r="B25" s="60" t="inlineStr">
        <is>
          <t>Teams that need a strong quality gate</t>
        </is>
      </c>
      <c r="C25" s="61" t="inlineStr">
        <is>
          <t>Core 1</t>
        </is>
      </c>
      <c r="D25" s="61" t="inlineStr">
        <is>
          <t>Core 2</t>
        </is>
      </c>
      <c r="E25" s="61" t="inlineStr">
        <is>
          <t>Core 3</t>
        </is>
      </c>
      <c r="F25" s="61" t="inlineStr">
        <is>
          <t>Core 4</t>
        </is>
      </c>
      <c r="G25" s="61" t="inlineStr">
        <is>
          <t>Core 5</t>
        </is>
      </c>
      <c r="H25" s="67" t="inlineStr">
        <is>
          <t>Testing 1</t>
        </is>
      </c>
      <c r="I25" s="68" t="inlineStr">
        <is>
          <t>Testing 2</t>
        </is>
      </c>
    </row>
    <row r="26" ht="30" customHeight="1">
      <c r="A26" s="59" t="inlineStr">
        <is>
          <t>8 days</t>
        </is>
      </c>
      <c r="B26" s="60" t="inlineStr">
        <is>
          <t>Teams moving to containers and CI/CD</t>
        </is>
      </c>
      <c r="C26" s="61" t="inlineStr">
        <is>
          <t>Core 1</t>
        </is>
      </c>
      <c r="D26" s="61" t="inlineStr">
        <is>
          <t>Core 2</t>
        </is>
      </c>
      <c r="E26" s="61" t="inlineStr">
        <is>
          <t>Core 3</t>
        </is>
      </c>
      <c r="F26" s="61" t="inlineStr">
        <is>
          <t>Core 4</t>
        </is>
      </c>
      <c r="G26" s="61" t="inlineStr">
        <is>
          <t>Core 5</t>
        </is>
      </c>
      <c r="H26" s="69" t="inlineStr">
        <is>
          <t>Docker</t>
        </is>
      </c>
      <c r="I26" s="70" t="inlineStr">
        <is>
          <t>Compose</t>
        </is>
      </c>
      <c r="J26" s="71" t="inlineStr">
        <is>
          <t>GitHub Actions</t>
        </is>
      </c>
    </row>
    <row r="27" ht="30" customHeight="1">
      <c r="A27" s="59" t="inlineStr">
        <is>
          <t>8 days</t>
        </is>
      </c>
      <c r="B27" s="60" t="inlineStr">
        <is>
          <t>Teams adding AI features to their services</t>
        </is>
      </c>
      <c r="C27" s="61" t="inlineStr">
        <is>
          <t>Core 1</t>
        </is>
      </c>
      <c r="D27" s="61" t="inlineStr">
        <is>
          <t>Core 2</t>
        </is>
      </c>
      <c r="E27" s="61" t="inlineStr">
        <is>
          <t>Core 3</t>
        </is>
      </c>
      <c r="F27" s="61" t="inlineStr">
        <is>
          <t>Core 4</t>
        </is>
      </c>
      <c r="G27" s="61" t="inlineStr">
        <is>
          <t>Core 5</t>
        </is>
      </c>
      <c r="H27" s="63" t="inlineStr">
        <is>
          <t>Resilience</t>
        </is>
      </c>
      <c r="I27" s="72" t="inlineStr">
        <is>
          <t>Spring AI</t>
        </is>
      </c>
      <c r="J27" s="73" t="inlineStr">
        <is>
          <t>Capstone</t>
        </is>
      </c>
    </row>
    <row r="28" ht="30" customHeight="1">
      <c r="A28" s="59" t="inlineStr">
        <is>
          <t>10 days</t>
        </is>
      </c>
      <c r="B28" s="60" t="inlineStr">
        <is>
          <t>Cloud-native platform teams</t>
        </is>
      </c>
      <c r="C28" s="61" t="inlineStr">
        <is>
          <t>Core 1</t>
        </is>
      </c>
      <c r="D28" s="61" t="inlineStr">
        <is>
          <t>Core 2</t>
        </is>
      </c>
      <c r="E28" s="61" t="inlineStr">
        <is>
          <t>Core 3</t>
        </is>
      </c>
      <c r="F28" s="61" t="inlineStr">
        <is>
          <t>Core 4</t>
        </is>
      </c>
      <c r="G28" s="61" t="inlineStr">
        <is>
          <t>Core 5</t>
        </is>
      </c>
      <c r="H28" s="63" t="inlineStr">
        <is>
          <t>Resilience</t>
        </is>
      </c>
      <c r="I28" s="69" t="inlineStr">
        <is>
          <t>Docker</t>
        </is>
      </c>
      <c r="J28" s="70" t="inlineStr">
        <is>
          <t>Compose</t>
        </is>
      </c>
      <c r="K28" s="71" t="inlineStr">
        <is>
          <t>GitHub Actions</t>
        </is>
      </c>
      <c r="L28" s="74" t="inlineStr">
        <is>
          <t>Kubernetes</t>
        </is>
      </c>
    </row>
    <row r="29" ht="30" customHeight="1">
      <c r="A29" s="59" t="inlineStr">
        <is>
          <t>12 days</t>
        </is>
      </c>
      <c r="B29" s="60" t="inlineStr">
        <is>
          <t>Product teams that own the store end to end</t>
        </is>
      </c>
      <c r="C29" s="61" t="inlineStr">
        <is>
          <t>Core 1</t>
        </is>
      </c>
      <c r="D29" s="61" t="inlineStr">
        <is>
          <t>Core 2</t>
        </is>
      </c>
      <c r="E29" s="61" t="inlineStr">
        <is>
          <t>Core 3</t>
        </is>
      </c>
      <c r="F29" s="61" t="inlineStr">
        <is>
          <t>Core 4</t>
        </is>
      </c>
      <c r="G29" s="61" t="inlineStr">
        <is>
          <t>Core 5</t>
        </is>
      </c>
      <c r="H29" s="63" t="inlineStr">
        <is>
          <t>Resilience</t>
        </is>
      </c>
      <c r="I29" s="64" t="inlineStr">
        <is>
          <t>Integrations</t>
        </is>
      </c>
      <c r="J29" s="65" t="inlineStr">
        <is>
          <t>Storefront 1</t>
        </is>
      </c>
      <c r="K29" s="66" t="inlineStr">
        <is>
          <t>Storefront 2</t>
        </is>
      </c>
      <c r="L29" s="67" t="inlineStr">
        <is>
          <t>Testing 1</t>
        </is>
      </c>
      <c r="M29" s="68" t="inlineStr">
        <is>
          <t>Testing 2</t>
        </is>
      </c>
      <c r="N29" s="73" t="inlineStr">
        <is>
          <t>Capstone</t>
        </is>
      </c>
    </row>
    <row r="30" ht="30" customHeight="1">
      <c r="A30" s="59" t="inlineStr">
        <is>
          <t>19 days</t>
        </is>
      </c>
      <c r="B30" s="60" t="inlineStr">
        <is>
          <t>The complete programme for a new-to-Spring cohort</t>
        </is>
      </c>
      <c r="C30" s="62" t="inlineStr">
        <is>
          <t>Bridge</t>
        </is>
      </c>
      <c r="D30" s="61" t="inlineStr">
        <is>
          <t>Core 1</t>
        </is>
      </c>
      <c r="E30" s="61" t="inlineStr">
        <is>
          <t>Core 2</t>
        </is>
      </c>
      <c r="F30" s="61" t="inlineStr">
        <is>
          <t>Core 3</t>
        </is>
      </c>
      <c r="G30" s="61" t="inlineStr">
        <is>
          <t>Core 4</t>
        </is>
      </c>
      <c r="H30" s="61" t="inlineStr">
        <is>
          <t>Core 5</t>
        </is>
      </c>
      <c r="I30" s="63" t="inlineStr">
        <is>
          <t>Resilience</t>
        </is>
      </c>
      <c r="J30" s="64" t="inlineStr">
        <is>
          <t>Integrations</t>
        </is>
      </c>
      <c r="K30" s="65" t="inlineStr">
        <is>
          <t>Storefront 1</t>
        </is>
      </c>
      <c r="L30" s="66" t="inlineStr">
        <is>
          <t>Storefront 2</t>
        </is>
      </c>
      <c r="M30" s="67" t="inlineStr">
        <is>
          <t>Testing 1</t>
        </is>
      </c>
      <c r="N30" s="68" t="inlineStr">
        <is>
          <t>Testing 2</t>
        </is>
      </c>
      <c r="O30" s="69" t="inlineStr">
        <is>
          <t>Docker</t>
        </is>
      </c>
      <c r="P30" s="70" t="inlineStr">
        <is>
          <t>Compose</t>
        </is>
      </c>
      <c r="Q30" s="71" t="inlineStr">
        <is>
          <t>GitHub Actions</t>
        </is>
      </c>
      <c r="R30" s="75" t="inlineStr">
        <is>
          <t>Kafka &amp; events</t>
        </is>
      </c>
      <c r="S30" s="74" t="inlineStr">
        <is>
          <t>Kubernetes</t>
        </is>
      </c>
      <c r="T30" s="72" t="inlineStr">
        <is>
          <t>Spring AI</t>
        </is>
      </c>
      <c r="U30" s="73" t="inlineStr">
        <is>
          <t>Capstone</t>
        </is>
      </c>
    </row>
    <row r="32">
      <c r="A32" s="76" t="inlineStr">
        <is>
          <t>Order rules: the bridge always comes before Day 1, and Capstone is always the last day. Storefront part 2 follows part 1, Testing part 2 follows part 1, and Docker comes before Docker Compose, GitHub Actions and Kubernetes. The other add-ons can be taken in any order.</t>
        </is>
      </c>
    </row>
  </sheetData>
  <mergeCells count="3">
    <mergeCell ref="A1:U1"/>
    <mergeCell ref="A32:U32"/>
    <mergeCell ref="A2:U2"/>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 customWidth="1" min="1" max="1"/>
    <col width="30" customWidth="1" min="2" max="2"/>
    <col width="12" customWidth="1" min="3" max="3"/>
    <col width="90" customWidth="1" min="4" max="4"/>
  </cols>
  <sheetData>
    <row r="1" ht="30" customHeight="1">
      <c r="A1" s="1" t="inlineStr">
        <is>
          <t>Settings and notes</t>
        </is>
      </c>
    </row>
    <row r="2" ht="34" customHeight="1">
      <c r="A2" s="2" t="inlineStr">
        <is>
          <t>Change the three yellow cells to match your working day: every start and end time in this file follows them.</t>
        </is>
      </c>
    </row>
    <row r="4">
      <c r="B4" s="43" t="inlineStr">
        <is>
          <t>Day starts at</t>
        </is>
      </c>
      <c r="C4" s="77">
        <f>TIME(9,0,0)</f>
        <v/>
      </c>
      <c r="D4" s="78" t="inlineStr">
        <is>
          <t>Default 09:00.</t>
        </is>
      </c>
    </row>
    <row r="5">
      <c r="B5" s="43" t="inlineStr">
        <is>
          <t>Short break (minutes)</t>
        </is>
      </c>
      <c r="C5" s="79" t="n">
        <v>15</v>
      </c>
      <c r="D5" s="78" t="inlineStr">
        <is>
          <t>Two short breaks a day.</t>
        </is>
      </c>
    </row>
    <row r="6">
      <c r="B6" s="43" t="inlineStr">
        <is>
          <t>Lunch (minutes)</t>
        </is>
      </c>
      <c r="C6" s="79" t="n">
        <v>60</v>
      </c>
      <c r="D6" s="78" t="inlineStr">
        <is>
          <t>One lunch break a day.</t>
        </is>
      </c>
    </row>
    <row r="8" ht="42" customHeight="1">
      <c r="B8" s="80" t="inlineStr">
        <is>
          <t>How to use this file</t>
        </is>
      </c>
      <c r="C8" s="81" t="inlineStr">
        <is>
          <t>1. Read the 5-day core and the add-on days.  2. On "Build your programme", choose Yes for the add-ons you want; the total and the day-by-day programme update.  3. "Example packages" shows common combinations at a glance.</t>
        </is>
      </c>
    </row>
    <row r="9" ht="42" customHeight="1">
      <c r="B9" s="80" t="inlineStr">
        <is>
          <t>Who it is for</t>
        </is>
      </c>
      <c r="C9" s="81" t="inlineStr">
        <is>
          <t>Java developers who know the language basics and object-oriented programming. Teams coming from Java 8 or another language should add the pre-course bridge. The two storefront days are written for front-end developers and need no Java.</t>
        </is>
      </c>
    </row>
    <row r="10" ht="42" customHeight="1">
      <c r="B10" s="80" t="inlineStr">
        <is>
          <t>How sessions run</t>
        </is>
      </c>
      <c r="C10" s="81" t="inlineStr">
        <is>
          <t>One system, ShopScope Commerce (an online store with a storefront, back-end services and real payment and e-mail providers), grows through the whole programme. It starts as a plain-Java monolith with a written register of its problems, and every session removes one of them until the monolith has become microservices. Each session is a short concept block followed by hands-on labs that participants type themselves, starting from a ready-made starter project, so a team that runs over on one lab still starts the next session on time. Every demo comes with study notes and a step-by-step guide.</t>
        </is>
      </c>
    </row>
    <row r="11" ht="42" customHeight="1">
      <c r="B11" s="80" t="inlineStr">
        <is>
          <t>Environment</t>
        </is>
      </c>
      <c r="C11" s="81" t="inlineStr">
        <is>
          <t>JDK 17 or newer (the code compiles for 17 and runs on 21 and 25), IntelliJ IDEA or VS Code, and Docker Desktop (for PostgreSQL, MySQL, MongoDB, Redis, Keycloak and the services). The storefront days need Node 22. Every starter can also run in GitHub Codespaces when local installs are restricted.</t>
        </is>
      </c>
    </row>
    <row r="12" ht="42" customHeight="1">
      <c r="B12" s="80" t="inlineStr">
        <is>
          <t>Stack</t>
        </is>
      </c>
      <c r="C12" s="81" t="inlineStr">
        <is>
          <t>Java 17 baseline (runs on 17, 21, 25), Spring Boot 4 (Spring Framework 7, Spring Security 7, Hibernate 7), Spring Data JPA and Spring Data MongoDB, PostgreSQL, MySQL, MongoDB, Flyway, MapStruct, springdoc OpenAPI, JUnit 5, Testcontainers, Keycloak, Spring Cloud (Config, Eureka, Gateway), Resilience4j, OpenTelemetry, Razorpay, Resend. Storefront: Next.js 16, React 19, TypeScript, Tailwind 4. Add-ons: Playwright, k6, Docker, Compose, GitHub Actions, Kafka, Kubernetes with Helm and Argo CD, Spring AI.</t>
        </is>
      </c>
    </row>
    <row r="13" ht="42" customHeight="1">
      <c r="B13" s="80" t="inlineStr">
        <is>
          <t>Full-stack option</t>
        </is>
      </c>
      <c r="C13" s="81" t="inlineStr">
        <is>
          <t>The storefront days build the same store the back-end days serve, so the programme can run as one full-stack track: back-end developers take the core, front-end developers take the two storefront days, and both teams meet on the same API.</t>
        </is>
      </c>
    </row>
  </sheetData>
  <mergeCells count="8">
    <mergeCell ref="A1:D1"/>
    <mergeCell ref="C12:D12"/>
    <mergeCell ref="C10:D10"/>
    <mergeCell ref="C11:D11"/>
    <mergeCell ref="C13:D13"/>
    <mergeCell ref="A2:D2"/>
    <mergeCell ref="C9:D9"/>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2026-10-29T16:27:06Z</dcterms:created>
  <dcterms:modified xmlns:dcterms="http://purl.org/dc/terms/" xmlns:xsi="http://www.w3.org/2001/XMLSchema-instance" xsi:type="dcterms:W3CDTF">2026-10-29T16:27:06Z</dcterms:modified>
</cp:coreProperties>
</file>